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0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21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ydia\Documents\yomiclient\cache\56\"/>
    </mc:Choice>
  </mc:AlternateContent>
  <xr:revisionPtr revIDLastSave="0" documentId="13_ncr:1_{FA94FF4B-9FBC-4532-99B3-060ADAFA236B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2026 Jun (monthly)" sheetId="22" r:id="rId1"/>
    <sheet name="2026 Mar (monthly)" sheetId="21" r:id="rId2"/>
    <sheet name="2025 Dec (monthly) " sheetId="20" r:id="rId3"/>
    <sheet name="2025 Sep (monthly)" sheetId="19" r:id="rId4"/>
    <sheet name="2025 Jun (monthly)" sheetId="18" r:id="rId5"/>
    <sheet name="2025 Mar (monthly)" sheetId="15" r:id="rId6"/>
    <sheet name="2024 Aug (monthly) " sheetId="14" state="hidden" r:id="rId7"/>
    <sheet name="2024 Jul (monthly) " sheetId="13" state="hidden" r:id="rId8"/>
    <sheet name="2024 Dec (monthly)" sheetId="16" r:id="rId9"/>
    <sheet name="2024 Sep (monthly)" sheetId="17" r:id="rId10"/>
    <sheet name="2024 Jun (monthly) " sheetId="12" r:id="rId11"/>
    <sheet name="2024 Mar (monthly) " sheetId="11" r:id="rId12"/>
    <sheet name="2023 Dec (monthly)" sheetId="10" r:id="rId13"/>
    <sheet name="2023 Sep (monthly)" sheetId="9" r:id="rId14"/>
    <sheet name="2023 Jun (monthly)" sheetId="8" r:id="rId15"/>
    <sheet name="2023 Mar (monthly)" sheetId="7" r:id="rId16"/>
    <sheet name="2022 Dec (monthly)" sheetId="5" r:id="rId17"/>
    <sheet name="2022 Sep (monthly)" sheetId="4" r:id="rId18"/>
    <sheet name="2023 Mar" sheetId="6" state="hidden" r:id="rId19"/>
    <sheet name="2022 Dec" sheetId="2" state="hidden" r:id="rId20"/>
    <sheet name="2022 Sep" sheetId="3" state="hidden" r:id="rId21"/>
  </sheets>
  <calcPr calcId="191029"/>
</workbook>
</file>

<file path=xl/calcChain.xml><?xml version="1.0" encoding="utf-8"?>
<calcChain xmlns="http://schemas.openxmlformats.org/spreadsheetml/2006/main">
  <c r="J59" i="22" l="1"/>
  <c r="F66" i="22" s="1"/>
  <c r="F60" i="22"/>
  <c r="E47" i="22"/>
  <c r="E46" i="22"/>
  <c r="F46" i="22" s="1"/>
  <c r="G46" i="22" s="1"/>
  <c r="E45" i="22"/>
  <c r="E44" i="22"/>
  <c r="E43" i="22"/>
  <c r="F43" i="22" s="1"/>
  <c r="G43" i="22" s="1"/>
  <c r="E42" i="22"/>
  <c r="E41" i="22"/>
  <c r="E40" i="22"/>
  <c r="E39" i="22"/>
  <c r="E38" i="22"/>
  <c r="E37" i="22"/>
  <c r="E36" i="22"/>
  <c r="F36" i="22" s="1"/>
  <c r="H35" i="22"/>
  <c r="E35" i="22"/>
  <c r="E34" i="22"/>
  <c r="E33" i="22"/>
  <c r="E32" i="22"/>
  <c r="E31" i="22"/>
  <c r="E30" i="22"/>
  <c r="C29" i="22"/>
  <c r="E29" i="22" s="1"/>
  <c r="C28" i="22"/>
  <c r="E28" i="22" s="1"/>
  <c r="F28" i="22" s="1"/>
  <c r="G28" i="22" s="1"/>
  <c r="E27" i="22"/>
  <c r="E26" i="22"/>
  <c r="E25" i="22"/>
  <c r="E24" i="22"/>
  <c r="E23" i="22"/>
  <c r="E22" i="22"/>
  <c r="E21" i="22"/>
  <c r="E20" i="22"/>
  <c r="F20" i="22" s="1"/>
  <c r="G20" i="22" s="1"/>
  <c r="E19" i="22"/>
  <c r="E18" i="22"/>
  <c r="E17" i="22"/>
  <c r="F18" i="22" s="1"/>
  <c r="G18" i="22" s="1"/>
  <c r="E16" i="22"/>
  <c r="E15" i="22"/>
  <c r="F16" i="22" s="1"/>
  <c r="G16" i="22" s="1"/>
  <c r="E14" i="22"/>
  <c r="F14" i="22" s="1"/>
  <c r="G14" i="22" s="1"/>
  <c r="E13" i="22"/>
  <c r="E12" i="22"/>
  <c r="E11" i="22"/>
  <c r="E10" i="22"/>
  <c r="E9" i="22"/>
  <c r="F10" i="22" s="1"/>
  <c r="G10" i="22" s="1"/>
  <c r="E8" i="22"/>
  <c r="I17" i="22" s="1"/>
  <c r="E7" i="22"/>
  <c r="E6" i="22"/>
  <c r="E5" i="22"/>
  <c r="E4" i="22"/>
  <c r="E3" i="22"/>
  <c r="F4" i="22" s="1"/>
  <c r="F55" i="21"/>
  <c r="F54" i="21"/>
  <c r="I47" i="21"/>
  <c r="H47" i="21"/>
  <c r="H44" i="21"/>
  <c r="F45" i="21"/>
  <c r="G45" i="21" s="1"/>
  <c r="F46" i="21"/>
  <c r="G46" i="21" s="1"/>
  <c r="F47" i="21"/>
  <c r="G47" i="21"/>
  <c r="F44" i="21"/>
  <c r="E45" i="21"/>
  <c r="E46" i="21"/>
  <c r="E47" i="21"/>
  <c r="E44" i="21"/>
  <c r="J57" i="21"/>
  <c r="G71" i="22"/>
  <c r="G67" i="22"/>
  <c r="G61" i="22"/>
  <c r="G62" i="22"/>
  <c r="G70" i="22"/>
  <c r="G66" i="22"/>
  <c r="G63" i="22"/>
  <c r="G58" i="22"/>
  <c r="G60" i="22"/>
  <c r="G69" i="22"/>
  <c r="G65" i="22"/>
  <c r="G57" i="22"/>
  <c r="G68" i="22"/>
  <c r="G56" i="22"/>
  <c r="G64" i="22"/>
  <c r="G59" i="22"/>
  <c r="F31" i="22" l="1"/>
  <c r="G31" i="22" s="1"/>
  <c r="F24" i="22"/>
  <c r="G24" i="22" s="1"/>
  <c r="F7" i="22"/>
  <c r="G7" i="22" s="1"/>
  <c r="F57" i="22"/>
  <c r="Q59" i="22" s="1"/>
  <c r="H32" i="22"/>
  <c r="F11" i="22"/>
  <c r="G11" i="22" s="1"/>
  <c r="F34" i="22"/>
  <c r="G34" i="22" s="1"/>
  <c r="F41" i="22"/>
  <c r="G41" i="22" s="1"/>
  <c r="F25" i="22"/>
  <c r="G25" i="22" s="1"/>
  <c r="H26" i="22"/>
  <c r="H11" i="22"/>
  <c r="I23" i="22"/>
  <c r="F30" i="22"/>
  <c r="G30" i="22" s="1"/>
  <c r="F35" i="22"/>
  <c r="G35" i="22" s="1"/>
  <c r="F45" i="22"/>
  <c r="G45" i="22" s="1"/>
  <c r="H17" i="22"/>
  <c r="F40" i="22"/>
  <c r="G40" i="22" s="1"/>
  <c r="F47" i="22"/>
  <c r="G47" i="22" s="1"/>
  <c r="I41" i="22"/>
  <c r="F5" i="22"/>
  <c r="G5" i="22" s="1"/>
  <c r="F17" i="22"/>
  <c r="G17" i="22" s="1"/>
  <c r="I20" i="22"/>
  <c r="I26" i="22"/>
  <c r="I32" i="22"/>
  <c r="F42" i="22"/>
  <c r="G42" i="22" s="1"/>
  <c r="F56" i="22"/>
  <c r="Q58" i="22" s="1"/>
  <c r="F3" i="22"/>
  <c r="G3" i="22" s="1"/>
  <c r="H20" i="22"/>
  <c r="F27" i="22"/>
  <c r="G27" i="22" s="1"/>
  <c r="F33" i="22"/>
  <c r="G33" i="22" s="1"/>
  <c r="F37" i="22"/>
  <c r="G37" i="22" s="1"/>
  <c r="F9" i="22"/>
  <c r="G9" i="22" s="1"/>
  <c r="F21" i="22"/>
  <c r="G21" i="22" s="1"/>
  <c r="I47" i="22"/>
  <c r="F6" i="22"/>
  <c r="G6" i="22" s="1"/>
  <c r="F13" i="22"/>
  <c r="G13" i="22" s="1"/>
  <c r="F19" i="22"/>
  <c r="G19" i="22" s="1"/>
  <c r="F22" i="22"/>
  <c r="G22" i="22" s="1"/>
  <c r="I35" i="22"/>
  <c r="I38" i="22"/>
  <c r="F44" i="22"/>
  <c r="G44" i="22" s="1"/>
  <c r="G36" i="22"/>
  <c r="F39" i="22"/>
  <c r="G39" i="22" s="1"/>
  <c r="H41" i="22"/>
  <c r="F68" i="22"/>
  <c r="G4" i="22"/>
  <c r="F12" i="22"/>
  <c r="G12" i="22" s="1"/>
  <c r="H14" i="22"/>
  <c r="F38" i="22"/>
  <c r="G38" i="22" s="1"/>
  <c r="H44" i="22"/>
  <c r="F23" i="22"/>
  <c r="G23" i="22" s="1"/>
  <c r="I14" i="22"/>
  <c r="H23" i="22"/>
  <c r="H29" i="22"/>
  <c r="I44" i="22"/>
  <c r="F8" i="22"/>
  <c r="G8" i="22" s="1"/>
  <c r="F26" i="22"/>
  <c r="G26" i="22" s="1"/>
  <c r="I29" i="22"/>
  <c r="F32" i="22"/>
  <c r="G32" i="22" s="1"/>
  <c r="H38" i="22"/>
  <c r="F29" i="22"/>
  <c r="G29" i="22" s="1"/>
  <c r="F15" i="22"/>
  <c r="G15" i="22" s="1"/>
  <c r="H47" i="22"/>
  <c r="I8" i="22"/>
  <c r="F58" i="21"/>
  <c r="F64" i="21"/>
  <c r="Q56" i="21"/>
  <c r="E43" i="21"/>
  <c r="E42" i="21"/>
  <c r="E41" i="21"/>
  <c r="E40" i="21"/>
  <c r="E39" i="21"/>
  <c r="E38" i="21"/>
  <c r="E37" i="21"/>
  <c r="E36" i="21"/>
  <c r="E35" i="21"/>
  <c r="H35" i="21" s="1"/>
  <c r="E34" i="21"/>
  <c r="E33" i="21"/>
  <c r="E32" i="21"/>
  <c r="F66" i="21" s="1"/>
  <c r="E31" i="21"/>
  <c r="E30" i="21"/>
  <c r="C29" i="21"/>
  <c r="E29" i="21" s="1"/>
  <c r="C28" i="21"/>
  <c r="E28" i="21" s="1"/>
  <c r="E27" i="21"/>
  <c r="E26" i="21"/>
  <c r="E25" i="21"/>
  <c r="E24" i="21"/>
  <c r="E23" i="21"/>
  <c r="E22" i="21"/>
  <c r="E21" i="21"/>
  <c r="E20" i="21"/>
  <c r="E19" i="21"/>
  <c r="E18" i="21"/>
  <c r="E17" i="21"/>
  <c r="E16" i="21"/>
  <c r="E15" i="21"/>
  <c r="E14" i="21"/>
  <c r="E13" i="21"/>
  <c r="E12" i="21"/>
  <c r="E11" i="21"/>
  <c r="E10" i="21"/>
  <c r="E9" i="21"/>
  <c r="E8" i="21"/>
  <c r="E7" i="21"/>
  <c r="E6" i="21"/>
  <c r="E5" i="21"/>
  <c r="E4" i="21"/>
  <c r="E3" i="21"/>
  <c r="F3" i="21" s="1"/>
  <c r="J54" i="20"/>
  <c r="F61" i="20" s="1"/>
  <c r="Q56" i="20"/>
  <c r="Q57" i="20"/>
  <c r="Q58" i="20"/>
  <c r="F66" i="20"/>
  <c r="F65" i="20"/>
  <c r="F64" i="20"/>
  <c r="F63" i="20"/>
  <c r="F59" i="20"/>
  <c r="F58" i="20"/>
  <c r="F57" i="20"/>
  <c r="F56" i="20"/>
  <c r="F55" i="20"/>
  <c r="F54" i="20"/>
  <c r="F53" i="20"/>
  <c r="F52" i="20"/>
  <c r="F51" i="20"/>
  <c r="H44" i="20"/>
  <c r="G44" i="20"/>
  <c r="F43" i="20"/>
  <c r="F44" i="20"/>
  <c r="E44" i="20"/>
  <c r="E42" i="20"/>
  <c r="F42" i="20" s="1"/>
  <c r="G42" i="20" s="1"/>
  <c r="E43" i="20"/>
  <c r="G43" i="20"/>
  <c r="I44" i="20"/>
  <c r="Q53" i="20"/>
  <c r="E41" i="20"/>
  <c r="I41" i="20" s="1"/>
  <c r="E40" i="20"/>
  <c r="F40" i="20" s="1"/>
  <c r="G40" i="20" s="1"/>
  <c r="E39" i="20"/>
  <c r="E38" i="20"/>
  <c r="F39" i="20" s="1"/>
  <c r="G39" i="20" s="1"/>
  <c r="F37" i="20"/>
  <c r="G37" i="20" s="1"/>
  <c r="E37" i="20"/>
  <c r="F36" i="20"/>
  <c r="G36" i="20" s="1"/>
  <c r="E36" i="20"/>
  <c r="I35" i="20"/>
  <c r="H35" i="20"/>
  <c r="F35" i="20"/>
  <c r="G35" i="20" s="1"/>
  <c r="E35" i="20"/>
  <c r="F34" i="20"/>
  <c r="G34" i="20" s="1"/>
  <c r="E34" i="20"/>
  <c r="F33" i="20"/>
  <c r="G33" i="20" s="1"/>
  <c r="E33" i="20"/>
  <c r="I32" i="20"/>
  <c r="F32" i="20"/>
  <c r="G32" i="20" s="1"/>
  <c r="E32" i="20"/>
  <c r="H32" i="20" s="1"/>
  <c r="F31" i="20"/>
  <c r="G31" i="20" s="1"/>
  <c r="E31" i="20"/>
  <c r="E30" i="20"/>
  <c r="C29" i="20"/>
  <c r="E29" i="20" s="1"/>
  <c r="E28" i="20"/>
  <c r="F28" i="20" s="1"/>
  <c r="G28" i="20" s="1"/>
  <c r="C28" i="20"/>
  <c r="F27" i="20"/>
  <c r="G27" i="20" s="1"/>
  <c r="E27" i="20"/>
  <c r="I26" i="20"/>
  <c r="F26" i="20"/>
  <c r="G26" i="20" s="1"/>
  <c r="E26" i="20"/>
  <c r="F25" i="20"/>
  <c r="G25" i="20" s="1"/>
  <c r="E25" i="20"/>
  <c r="E24" i="20"/>
  <c r="F24" i="20" s="1"/>
  <c r="G24" i="20" s="1"/>
  <c r="I23" i="20"/>
  <c r="F23" i="20"/>
  <c r="G23" i="20" s="1"/>
  <c r="E23" i="20"/>
  <c r="H26" i="20" s="1"/>
  <c r="E22" i="20"/>
  <c r="F22" i="20" s="1"/>
  <c r="G22" i="20" s="1"/>
  <c r="E21" i="20"/>
  <c r="F21" i="20" s="1"/>
  <c r="G21" i="20" s="1"/>
  <c r="I20" i="20"/>
  <c r="E20" i="20"/>
  <c r="H20" i="20" s="1"/>
  <c r="E19" i="20"/>
  <c r="F19" i="20" s="1"/>
  <c r="G19" i="20" s="1"/>
  <c r="E18" i="20"/>
  <c r="F18" i="20" s="1"/>
  <c r="G18" i="20" s="1"/>
  <c r="E17" i="20"/>
  <c r="I17" i="20" s="1"/>
  <c r="E16" i="20"/>
  <c r="F16" i="20" s="1"/>
  <c r="G16" i="20" s="1"/>
  <c r="E15" i="20"/>
  <c r="F15" i="20" s="1"/>
  <c r="G15" i="20" s="1"/>
  <c r="E14" i="20"/>
  <c r="F14" i="20" s="1"/>
  <c r="G14" i="20" s="1"/>
  <c r="E13" i="20"/>
  <c r="F13" i="20" s="1"/>
  <c r="G13" i="20" s="1"/>
  <c r="E12" i="20"/>
  <c r="F12" i="20" s="1"/>
  <c r="G12" i="20" s="1"/>
  <c r="E11" i="20"/>
  <c r="H11" i="20" s="1"/>
  <c r="E10" i="20"/>
  <c r="F10" i="20" s="1"/>
  <c r="G10" i="20" s="1"/>
  <c r="E9" i="20"/>
  <c r="F9" i="20" s="1"/>
  <c r="G9" i="20" s="1"/>
  <c r="F8" i="20"/>
  <c r="G8" i="20" s="1"/>
  <c r="E8" i="20"/>
  <c r="I8" i="20" s="1"/>
  <c r="F7" i="20"/>
  <c r="G7" i="20" s="1"/>
  <c r="E7" i="20"/>
  <c r="E6" i="20"/>
  <c r="F6" i="20" s="1"/>
  <c r="G6" i="20" s="1"/>
  <c r="E5" i="20"/>
  <c r="F5" i="20" s="1"/>
  <c r="G5" i="20" s="1"/>
  <c r="E4" i="20"/>
  <c r="F4" i="20" s="1"/>
  <c r="G4" i="20" s="1"/>
  <c r="E3" i="20"/>
  <c r="F3" i="20" s="1"/>
  <c r="F62" i="19"/>
  <c r="F61" i="19"/>
  <c r="F60" i="19"/>
  <c r="F59" i="19"/>
  <c r="F58" i="19"/>
  <c r="J50" i="19"/>
  <c r="F57" i="19" s="1"/>
  <c r="F56" i="19"/>
  <c r="F55" i="19"/>
  <c r="F54" i="19"/>
  <c r="F53" i="19"/>
  <c r="F52" i="19"/>
  <c r="F51" i="19"/>
  <c r="F47" i="19"/>
  <c r="F50" i="19"/>
  <c r="F49" i="19"/>
  <c r="F41" i="19"/>
  <c r="F48" i="19"/>
  <c r="I41" i="19"/>
  <c r="H41" i="19"/>
  <c r="G39" i="19"/>
  <c r="G40" i="19"/>
  <c r="G41" i="19"/>
  <c r="G38" i="19"/>
  <c r="F39" i="19"/>
  <c r="F40" i="19"/>
  <c r="F38" i="19"/>
  <c r="E40" i="19"/>
  <c r="E41" i="19"/>
  <c r="E39" i="19"/>
  <c r="J47" i="18"/>
  <c r="F54" i="18" s="1"/>
  <c r="F55" i="18" s="1"/>
  <c r="E38" i="19"/>
  <c r="E37" i="19"/>
  <c r="F37" i="19" s="1"/>
  <c r="G37" i="19" s="1"/>
  <c r="E36" i="19"/>
  <c r="E35" i="19"/>
  <c r="E34" i="19"/>
  <c r="E33" i="19"/>
  <c r="E32" i="19"/>
  <c r="E31" i="19"/>
  <c r="E30" i="19"/>
  <c r="C29" i="19"/>
  <c r="E29" i="19" s="1"/>
  <c r="C28" i="19"/>
  <c r="E28" i="19" s="1"/>
  <c r="E27" i="19"/>
  <c r="E26" i="19"/>
  <c r="H26" i="19" s="1"/>
  <c r="E25" i="19"/>
  <c r="E24" i="19"/>
  <c r="F24" i="19" s="1"/>
  <c r="G24" i="19" s="1"/>
  <c r="E23" i="19"/>
  <c r="E22" i="19"/>
  <c r="E21" i="19"/>
  <c r="E20" i="19"/>
  <c r="E19" i="19"/>
  <c r="E18" i="19"/>
  <c r="E17" i="19"/>
  <c r="E16" i="19"/>
  <c r="E15" i="19"/>
  <c r="E14" i="19"/>
  <c r="E13" i="19"/>
  <c r="E12" i="19"/>
  <c r="E11" i="19"/>
  <c r="E10" i="19"/>
  <c r="F10" i="19" s="1"/>
  <c r="G10" i="19" s="1"/>
  <c r="E9" i="19"/>
  <c r="E8" i="19"/>
  <c r="I8" i="19" s="1"/>
  <c r="E7" i="19"/>
  <c r="E6" i="19"/>
  <c r="E5" i="19"/>
  <c r="E4" i="19"/>
  <c r="E3" i="19"/>
  <c r="F3" i="19" s="1"/>
  <c r="I38" i="18"/>
  <c r="F42" i="15"/>
  <c r="I35" i="15"/>
  <c r="F45" i="18"/>
  <c r="F56" i="16"/>
  <c r="F55" i="16"/>
  <c r="F54" i="16"/>
  <c r="F53" i="16"/>
  <c r="F50" i="16"/>
  <c r="F49" i="16"/>
  <c r="F48" i="16"/>
  <c r="F47" i="16"/>
  <c r="F46" i="16"/>
  <c r="F45" i="16"/>
  <c r="F44" i="16"/>
  <c r="F43" i="16"/>
  <c r="F42" i="16"/>
  <c r="F59" i="18"/>
  <c r="F58" i="18"/>
  <c r="F57" i="18"/>
  <c r="F56" i="18"/>
  <c r="F53" i="18"/>
  <c r="F52" i="18"/>
  <c r="F51" i="18"/>
  <c r="F50" i="18"/>
  <c r="F49" i="18"/>
  <c r="F48" i="18"/>
  <c r="F47" i="18"/>
  <c r="F46" i="18"/>
  <c r="F44" i="18"/>
  <c r="F56" i="15"/>
  <c r="F55" i="15"/>
  <c r="F54" i="15"/>
  <c r="F53" i="15"/>
  <c r="F52" i="15"/>
  <c r="J44" i="15"/>
  <c r="F51" i="15" s="1"/>
  <c r="F50" i="15"/>
  <c r="F48" i="15"/>
  <c r="F47" i="15"/>
  <c r="F46" i="15"/>
  <c r="F45" i="15"/>
  <c r="F44" i="15"/>
  <c r="F43" i="15"/>
  <c r="F49" i="15" s="1"/>
  <c r="F41" i="15"/>
  <c r="F41" i="16"/>
  <c r="Q46" i="18"/>
  <c r="H38" i="18"/>
  <c r="E36" i="18"/>
  <c r="E37" i="18"/>
  <c r="E38" i="18"/>
  <c r="E35" i="18"/>
  <c r="H35" i="18" s="1"/>
  <c r="E34" i="18"/>
  <c r="E33" i="18"/>
  <c r="E32" i="18"/>
  <c r="E31" i="18"/>
  <c r="E30" i="18"/>
  <c r="C29" i="18"/>
  <c r="E29" i="18" s="1"/>
  <c r="C28" i="18"/>
  <c r="E28" i="18" s="1"/>
  <c r="E27" i="18"/>
  <c r="E26" i="18"/>
  <c r="E25" i="18"/>
  <c r="E24" i="18"/>
  <c r="E23" i="18"/>
  <c r="E22" i="18"/>
  <c r="E21" i="18"/>
  <c r="E20" i="18"/>
  <c r="E19" i="18"/>
  <c r="E18" i="18"/>
  <c r="E17" i="18"/>
  <c r="E16" i="18"/>
  <c r="E15" i="18"/>
  <c r="E14" i="18"/>
  <c r="E13" i="18"/>
  <c r="E12" i="18"/>
  <c r="E11" i="18"/>
  <c r="E10" i="18"/>
  <c r="E9" i="18"/>
  <c r="E8" i="18"/>
  <c r="I8" i="18" s="1"/>
  <c r="E7" i="18"/>
  <c r="E6" i="18"/>
  <c r="E5" i="18"/>
  <c r="E4" i="18"/>
  <c r="E3" i="18"/>
  <c r="F3" i="18" s="1"/>
  <c r="H35" i="15"/>
  <c r="G69" i="21"/>
  <c r="G67" i="21"/>
  <c r="G61" i="20"/>
  <c r="G57" i="19"/>
  <c r="G63" i="20"/>
  <c r="G52" i="19"/>
  <c r="G51" i="19"/>
  <c r="G55" i="19"/>
  <c r="G48" i="19"/>
  <c r="G64" i="21"/>
  <c r="G46" i="18"/>
  <c r="G61" i="21"/>
  <c r="G52" i="18"/>
  <c r="G60" i="19"/>
  <c r="G62" i="21"/>
  <c r="G60" i="20"/>
  <c r="G57" i="21"/>
  <c r="G56" i="18"/>
  <c r="G65" i="21"/>
  <c r="G63" i="21"/>
  <c r="G51" i="20"/>
  <c r="G55" i="20"/>
  <c r="G66" i="20"/>
  <c r="G45" i="18"/>
  <c r="G57" i="20"/>
  <c r="G58" i="18"/>
  <c r="G60" i="21"/>
  <c r="G59" i="19"/>
  <c r="G64" i="20"/>
  <c r="G47" i="18"/>
  <c r="G66" i="21"/>
  <c r="G55" i="18"/>
  <c r="G54" i="21"/>
  <c r="G44" i="18"/>
  <c r="G56" i="21"/>
  <c r="G53" i="19"/>
  <c r="G58" i="19"/>
  <c r="G59" i="21"/>
  <c r="G55" i="21"/>
  <c r="G56" i="19"/>
  <c r="G54" i="20"/>
  <c r="G52" i="20"/>
  <c r="G62" i="20"/>
  <c r="G49" i="19"/>
  <c r="G62" i="19"/>
  <c r="G68" i="21"/>
  <c r="G58" i="20"/>
  <c r="G57" i="18"/>
  <c r="G53" i="20"/>
  <c r="G49" i="18"/>
  <c r="G59" i="20"/>
  <c r="G54" i="18"/>
  <c r="G51" i="18"/>
  <c r="G54" i="19"/>
  <c r="G59" i="18"/>
  <c r="G48" i="18"/>
  <c r="G47" i="19"/>
  <c r="G53" i="18"/>
  <c r="G50" i="18"/>
  <c r="G56" i="20"/>
  <c r="G50" i="19"/>
  <c r="G65" i="20"/>
  <c r="G58" i="21"/>
  <c r="G61" i="19"/>
  <c r="F61" i="22" l="1"/>
  <c r="Q60" i="22" s="1"/>
  <c r="F62" i="22"/>
  <c r="F63" i="22"/>
  <c r="F69" i="22"/>
  <c r="F58" i="22"/>
  <c r="F64" i="22" s="1"/>
  <c r="Q63" i="22" s="1"/>
  <c r="F59" i="22"/>
  <c r="F65" i="22" s="1"/>
  <c r="F15" i="21"/>
  <c r="G15" i="21" s="1"/>
  <c r="F10" i="21"/>
  <c r="G10" i="21" s="1"/>
  <c r="H11" i="21"/>
  <c r="F26" i="21"/>
  <c r="G26" i="21" s="1"/>
  <c r="I38" i="21"/>
  <c r="I41" i="21"/>
  <c r="F39" i="21"/>
  <c r="G39" i="21" s="1"/>
  <c r="F9" i="21"/>
  <c r="G9" i="21" s="1"/>
  <c r="F5" i="21"/>
  <c r="G5" i="21" s="1"/>
  <c r="I20" i="21"/>
  <c r="F28" i="21"/>
  <c r="G28" i="21" s="1"/>
  <c r="F43" i="21"/>
  <c r="G43" i="21" s="1"/>
  <c r="F13" i="21"/>
  <c r="G13" i="21" s="1"/>
  <c r="F4" i="21"/>
  <c r="G4" i="21" s="1"/>
  <c r="F42" i="21"/>
  <c r="G42" i="21" s="1"/>
  <c r="F16" i="21"/>
  <c r="G16" i="21" s="1"/>
  <c r="F32" i="21"/>
  <c r="G32" i="21" s="1"/>
  <c r="I17" i="21"/>
  <c r="F25" i="21"/>
  <c r="G25" i="21" s="1"/>
  <c r="F33" i="21"/>
  <c r="G33" i="21" s="1"/>
  <c r="F40" i="21"/>
  <c r="G40" i="21" s="1"/>
  <c r="I35" i="21"/>
  <c r="F7" i="21"/>
  <c r="G7" i="21" s="1"/>
  <c r="F8" i="21"/>
  <c r="G8" i="21" s="1"/>
  <c r="H17" i="21"/>
  <c r="F23" i="21"/>
  <c r="G23" i="21" s="1"/>
  <c r="F30" i="21"/>
  <c r="G30" i="21" s="1"/>
  <c r="F37" i="21"/>
  <c r="G37" i="21" s="1"/>
  <c r="F41" i="21"/>
  <c r="G41" i="21" s="1"/>
  <c r="G44" i="21"/>
  <c r="I8" i="21"/>
  <c r="I14" i="21"/>
  <c r="F24" i="21"/>
  <c r="G24" i="21" s="1"/>
  <c r="F31" i="21"/>
  <c r="G31" i="21" s="1"/>
  <c r="H38" i="21"/>
  <c r="H41" i="21"/>
  <c r="F21" i="21"/>
  <c r="G21" i="21" s="1"/>
  <c r="F17" i="21"/>
  <c r="G17" i="21" s="1"/>
  <c r="F14" i="21"/>
  <c r="G14" i="21" s="1"/>
  <c r="F38" i="21"/>
  <c r="G38" i="21" s="1"/>
  <c r="Q57" i="21"/>
  <c r="F6" i="21"/>
  <c r="G6" i="21" s="1"/>
  <c r="F18" i="21"/>
  <c r="G18" i="21" s="1"/>
  <c r="F22" i="21"/>
  <c r="G22" i="21" s="1"/>
  <c r="F19" i="21"/>
  <c r="G19" i="21" s="1"/>
  <c r="F27" i="21"/>
  <c r="G27" i="21" s="1"/>
  <c r="F34" i="21"/>
  <c r="G34" i="21" s="1"/>
  <c r="F29" i="21"/>
  <c r="G29" i="21" s="1"/>
  <c r="F12" i="21"/>
  <c r="G12" i="21" s="1"/>
  <c r="H14" i="21"/>
  <c r="H23" i="21"/>
  <c r="H29" i="21"/>
  <c r="I44" i="21"/>
  <c r="I23" i="21"/>
  <c r="I29" i="21"/>
  <c r="F36" i="21"/>
  <c r="G3" i="21"/>
  <c r="F11" i="21"/>
  <c r="G11" i="21" s="1"/>
  <c r="F20" i="21"/>
  <c r="G20" i="21" s="1"/>
  <c r="H26" i="21"/>
  <c r="H32" i="21"/>
  <c r="I26" i="21"/>
  <c r="I32" i="21"/>
  <c r="F35" i="21"/>
  <c r="G35" i="21" s="1"/>
  <c r="H20" i="21"/>
  <c r="G3" i="20"/>
  <c r="I29" i="20"/>
  <c r="H29" i="20"/>
  <c r="F29" i="20"/>
  <c r="G29" i="20" s="1"/>
  <c r="F30" i="20"/>
  <c r="H14" i="20"/>
  <c r="F38" i="20"/>
  <c r="G38" i="20" s="1"/>
  <c r="I14" i="20"/>
  <c r="F17" i="20"/>
  <c r="G17" i="20" s="1"/>
  <c r="H23" i="20"/>
  <c r="Q54" i="20"/>
  <c r="H38" i="20"/>
  <c r="H17" i="20"/>
  <c r="I38" i="20"/>
  <c r="F41" i="20"/>
  <c r="G41" i="20" s="1"/>
  <c r="F11" i="20"/>
  <c r="G11" i="20" s="1"/>
  <c r="F20" i="20"/>
  <c r="G20" i="20" s="1"/>
  <c r="H41" i="20"/>
  <c r="F8" i="19"/>
  <c r="G8" i="19" s="1"/>
  <c r="F15" i="19"/>
  <c r="G15" i="19" s="1"/>
  <c r="F32" i="19"/>
  <c r="G32" i="19" s="1"/>
  <c r="F9" i="19"/>
  <c r="G9" i="19" s="1"/>
  <c r="H17" i="19"/>
  <c r="F6" i="19"/>
  <c r="G6" i="19" s="1"/>
  <c r="F22" i="19"/>
  <c r="G22" i="19" s="1"/>
  <c r="I23" i="19"/>
  <c r="F16" i="19"/>
  <c r="G16" i="19" s="1"/>
  <c r="F26" i="19"/>
  <c r="G26" i="19" s="1"/>
  <c r="I32" i="19"/>
  <c r="F11" i="19"/>
  <c r="G11" i="19" s="1"/>
  <c r="F36" i="19"/>
  <c r="G36" i="19" s="1"/>
  <c r="F13" i="19"/>
  <c r="G13" i="19" s="1"/>
  <c r="I35" i="19"/>
  <c r="F21" i="19"/>
  <c r="G21" i="19" s="1"/>
  <c r="H14" i="19"/>
  <c r="F28" i="19"/>
  <c r="G28" i="19" s="1"/>
  <c r="I38" i="19"/>
  <c r="F18" i="19"/>
  <c r="G18" i="19" s="1"/>
  <c r="F35" i="19"/>
  <c r="G35" i="19" s="1"/>
  <c r="F4" i="19"/>
  <c r="G4" i="19" s="1"/>
  <c r="H35" i="19"/>
  <c r="H38" i="19"/>
  <c r="Q50" i="19"/>
  <c r="F5" i="19"/>
  <c r="G5" i="19" s="1"/>
  <c r="F19" i="19"/>
  <c r="G19" i="19" s="1"/>
  <c r="I26" i="19"/>
  <c r="H11" i="19"/>
  <c r="F12" i="19"/>
  <c r="G12" i="19" s="1"/>
  <c r="I20" i="19"/>
  <c r="F27" i="19"/>
  <c r="F34" i="19"/>
  <c r="G34" i="19" s="1"/>
  <c r="G27" i="19"/>
  <c r="F30" i="19"/>
  <c r="G30" i="19" s="1"/>
  <c r="G3" i="19"/>
  <c r="I29" i="19"/>
  <c r="H29" i="19"/>
  <c r="F29" i="19"/>
  <c r="G29" i="19" s="1"/>
  <c r="H32" i="19"/>
  <c r="I17" i="19"/>
  <c r="F20" i="19"/>
  <c r="G20" i="19" s="1"/>
  <c r="Q49" i="19"/>
  <c r="F14" i="19"/>
  <c r="G14" i="19" s="1"/>
  <c r="H20" i="19"/>
  <c r="F7" i="19"/>
  <c r="G7" i="19" s="1"/>
  <c r="F23" i="19"/>
  <c r="G23" i="19" s="1"/>
  <c r="F25" i="19"/>
  <c r="G25" i="19" s="1"/>
  <c r="F31" i="19"/>
  <c r="G31" i="19" s="1"/>
  <c r="F33" i="19"/>
  <c r="G33" i="19" s="1"/>
  <c r="I14" i="19"/>
  <c r="F17" i="19"/>
  <c r="G17" i="19" s="1"/>
  <c r="H23" i="19"/>
  <c r="F14" i="18"/>
  <c r="G14" i="18" s="1"/>
  <c r="H23" i="18"/>
  <c r="I23" i="18"/>
  <c r="I35" i="18"/>
  <c r="F36" i="18"/>
  <c r="G36" i="18" s="1"/>
  <c r="F16" i="18"/>
  <c r="G16" i="18" s="1"/>
  <c r="F30" i="18"/>
  <c r="G30" i="18" s="1"/>
  <c r="F24" i="18"/>
  <c r="G24" i="18" s="1"/>
  <c r="F38" i="18"/>
  <c r="G38" i="18" s="1"/>
  <c r="F37" i="18"/>
  <c r="G37" i="18" s="1"/>
  <c r="F31" i="18"/>
  <c r="G31" i="18" s="1"/>
  <c r="I26" i="18"/>
  <c r="F34" i="18"/>
  <c r="G34" i="18" s="1"/>
  <c r="F10" i="18"/>
  <c r="G10" i="18" s="1"/>
  <c r="F18" i="18"/>
  <c r="G18" i="18" s="1"/>
  <c r="F19" i="18"/>
  <c r="G19" i="18" s="1"/>
  <c r="F5" i="18"/>
  <c r="G5" i="18" s="1"/>
  <c r="F13" i="18"/>
  <c r="G13" i="18" s="1"/>
  <c r="F21" i="18"/>
  <c r="G21" i="18" s="1"/>
  <c r="F7" i="18"/>
  <c r="G7" i="18" s="1"/>
  <c r="I14" i="18"/>
  <c r="F9" i="18"/>
  <c r="G9" i="18" s="1"/>
  <c r="F15" i="18"/>
  <c r="G15" i="18" s="1"/>
  <c r="I20" i="18"/>
  <c r="F25" i="18"/>
  <c r="G25" i="18" s="1"/>
  <c r="F33" i="18"/>
  <c r="G33" i="18" s="1"/>
  <c r="F4" i="18"/>
  <c r="G4" i="18" s="1"/>
  <c r="I17" i="18"/>
  <c r="F27" i="18"/>
  <c r="G27" i="18" s="1"/>
  <c r="F22" i="18"/>
  <c r="G22" i="18" s="1"/>
  <c r="H14" i="18"/>
  <c r="F17" i="18"/>
  <c r="H17" i="18"/>
  <c r="F23" i="18"/>
  <c r="G23" i="18" s="1"/>
  <c r="F6" i="18"/>
  <c r="G6" i="18" s="1"/>
  <c r="G3" i="18"/>
  <c r="F28" i="18"/>
  <c r="G28" i="18" s="1"/>
  <c r="F29" i="18"/>
  <c r="G29" i="18" s="1"/>
  <c r="I29" i="18"/>
  <c r="H29" i="18"/>
  <c r="F8" i="18"/>
  <c r="G8" i="18" s="1"/>
  <c r="Q47" i="18"/>
  <c r="F11" i="18"/>
  <c r="G11" i="18" s="1"/>
  <c r="F20" i="18"/>
  <c r="G20" i="18" s="1"/>
  <c r="H26" i="18"/>
  <c r="G17" i="18"/>
  <c r="F26" i="18"/>
  <c r="G26" i="18" s="1"/>
  <c r="F32" i="18"/>
  <c r="G32" i="18" s="1"/>
  <c r="H32" i="18"/>
  <c r="I32" i="18"/>
  <c r="F35" i="18"/>
  <c r="G35" i="18" s="1"/>
  <c r="H11" i="18"/>
  <c r="H20" i="18"/>
  <c r="F12" i="18"/>
  <c r="G12" i="18" s="1"/>
  <c r="J41" i="17"/>
  <c r="F48" i="17" s="1"/>
  <c r="F42" i="17"/>
  <c r="C29" i="17"/>
  <c r="E29" i="17" s="1"/>
  <c r="F38" i="17" s="1"/>
  <c r="C28" i="17"/>
  <c r="E28" i="17" s="1"/>
  <c r="E27" i="17"/>
  <c r="E26" i="17"/>
  <c r="E25" i="17"/>
  <c r="E24" i="17"/>
  <c r="E23" i="17"/>
  <c r="E22" i="17"/>
  <c r="E21" i="17"/>
  <c r="E20" i="17"/>
  <c r="E19" i="17"/>
  <c r="E18" i="17"/>
  <c r="E17" i="17"/>
  <c r="E16" i="17"/>
  <c r="E15" i="17"/>
  <c r="E14" i="17"/>
  <c r="E13" i="17"/>
  <c r="E12" i="17"/>
  <c r="E11" i="17"/>
  <c r="E10" i="17"/>
  <c r="E9" i="17"/>
  <c r="E8" i="17"/>
  <c r="I8" i="17" s="1"/>
  <c r="E7" i="17"/>
  <c r="E6" i="17"/>
  <c r="F7" i="17" s="1"/>
  <c r="G7" i="17" s="1"/>
  <c r="E5" i="17"/>
  <c r="E4" i="17"/>
  <c r="E3" i="17"/>
  <c r="F3" i="17" s="1"/>
  <c r="Q43" i="16"/>
  <c r="F32" i="16"/>
  <c r="J44" i="16"/>
  <c r="F51" i="16" s="1"/>
  <c r="E32" i="16"/>
  <c r="E31" i="16"/>
  <c r="E30" i="16"/>
  <c r="C29" i="16"/>
  <c r="E29" i="16" s="1"/>
  <c r="F29" i="16" s="1"/>
  <c r="G29" i="16" s="1"/>
  <c r="C28" i="16"/>
  <c r="E28" i="16" s="1"/>
  <c r="E27" i="16"/>
  <c r="F27" i="16" s="1"/>
  <c r="G27" i="16" s="1"/>
  <c r="E26" i="16"/>
  <c r="E25" i="16"/>
  <c r="E24" i="16"/>
  <c r="E23" i="16"/>
  <c r="E22" i="16"/>
  <c r="F22" i="16" s="1"/>
  <c r="G22" i="16" s="1"/>
  <c r="E21" i="16"/>
  <c r="E20" i="16"/>
  <c r="I20" i="16" s="1"/>
  <c r="E19" i="16"/>
  <c r="F19" i="16" s="1"/>
  <c r="G19" i="16" s="1"/>
  <c r="E18" i="16"/>
  <c r="E17" i="16"/>
  <c r="E16" i="16"/>
  <c r="E15" i="16"/>
  <c r="E14" i="16"/>
  <c r="E13" i="16"/>
  <c r="F14" i="16" s="1"/>
  <c r="G14" i="16" s="1"/>
  <c r="E12" i="16"/>
  <c r="E11" i="16"/>
  <c r="H14" i="16" s="1"/>
  <c r="E10" i="16"/>
  <c r="E9" i="16"/>
  <c r="E8" i="16"/>
  <c r="E7" i="16"/>
  <c r="E6" i="16"/>
  <c r="E5" i="16"/>
  <c r="E4" i="16"/>
  <c r="E3" i="16"/>
  <c r="E33" i="15"/>
  <c r="E34" i="15"/>
  <c r="E35" i="15"/>
  <c r="E4" i="15"/>
  <c r="E5" i="15"/>
  <c r="E6" i="15"/>
  <c r="E7" i="15"/>
  <c r="E8" i="15"/>
  <c r="I8" i="15" s="1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30" i="15"/>
  <c r="E31" i="15"/>
  <c r="E32" i="15"/>
  <c r="I32" i="15" s="1"/>
  <c r="E3" i="15"/>
  <c r="F3" i="15" s="1"/>
  <c r="C29" i="15"/>
  <c r="E29" i="15" s="1"/>
  <c r="C28" i="15"/>
  <c r="E28" i="15" s="1"/>
  <c r="G49" i="15"/>
  <c r="G52" i="17"/>
  <c r="G48" i="15"/>
  <c r="G56" i="16"/>
  <c r="G52" i="15"/>
  <c r="G41" i="15"/>
  <c r="G45" i="17"/>
  <c r="G53" i="16"/>
  <c r="G50" i="17"/>
  <c r="G41" i="17"/>
  <c r="G39" i="17"/>
  <c r="G51" i="15"/>
  <c r="G41" i="16"/>
  <c r="G54" i="16"/>
  <c r="G46" i="17"/>
  <c r="G45" i="16"/>
  <c r="G42" i="15"/>
  <c r="G51" i="16"/>
  <c r="G40" i="17"/>
  <c r="G38" i="17"/>
  <c r="G46" i="15"/>
  <c r="G54" i="15"/>
  <c r="G43" i="16"/>
  <c r="G42" i="17"/>
  <c r="G43" i="17"/>
  <c r="G53" i="15"/>
  <c r="G49" i="17"/>
  <c r="G46" i="16"/>
  <c r="G47" i="17"/>
  <c r="G50" i="16"/>
  <c r="G44" i="17"/>
  <c r="G48" i="17"/>
  <c r="G49" i="16"/>
  <c r="G50" i="15"/>
  <c r="G52" i="16"/>
  <c r="G55" i="16"/>
  <c r="G56" i="15"/>
  <c r="G51" i="17"/>
  <c r="G42" i="16"/>
  <c r="G53" i="17"/>
  <c r="G47" i="15"/>
  <c r="G44" i="15"/>
  <c r="G55" i="15"/>
  <c r="G44" i="16"/>
  <c r="G47" i="16"/>
  <c r="G48" i="16"/>
  <c r="G43" i="15"/>
  <c r="G45" i="15"/>
  <c r="F71" i="22" l="1"/>
  <c r="Q62" i="22" s="1"/>
  <c r="F70" i="22"/>
  <c r="Q61" i="22" s="1"/>
  <c r="F67" i="22"/>
  <c r="Q64" i="22" s="1"/>
  <c r="G36" i="21"/>
  <c r="F57" i="21"/>
  <c r="F63" i="21" s="1"/>
  <c r="F60" i="21"/>
  <c r="F61" i="21"/>
  <c r="F56" i="21"/>
  <c r="F62" i="21" s="1"/>
  <c r="Q61" i="21" s="1"/>
  <c r="F59" i="21"/>
  <c r="F67" i="21"/>
  <c r="F68" i="21" s="1"/>
  <c r="F69" i="21"/>
  <c r="F60" i="20"/>
  <c r="G30" i="20"/>
  <c r="Q51" i="19"/>
  <c r="Q53" i="19"/>
  <c r="Q52" i="19"/>
  <c r="Q54" i="19"/>
  <c r="F27" i="17"/>
  <c r="G27" i="17" s="1"/>
  <c r="F28" i="17"/>
  <c r="G28" i="17" s="1"/>
  <c r="I23" i="17"/>
  <c r="F39" i="17"/>
  <c r="Q41" i="17" s="1"/>
  <c r="F50" i="17"/>
  <c r="F13" i="17"/>
  <c r="G13" i="17" s="1"/>
  <c r="F22" i="17"/>
  <c r="G22" i="17" s="1"/>
  <c r="F24" i="17"/>
  <c r="G24" i="17" s="1"/>
  <c r="F14" i="17"/>
  <c r="G14" i="17" s="1"/>
  <c r="F20" i="17"/>
  <c r="G20" i="17" s="1"/>
  <c r="I26" i="17"/>
  <c r="F8" i="17"/>
  <c r="G8" i="17" s="1"/>
  <c r="F4" i="17"/>
  <c r="F9" i="17"/>
  <c r="G9" i="17" s="1"/>
  <c r="F15" i="17"/>
  <c r="G15" i="17" s="1"/>
  <c r="F25" i="17"/>
  <c r="G25" i="17" s="1"/>
  <c r="F6" i="17"/>
  <c r="G6" i="17" s="1"/>
  <c r="F11" i="17"/>
  <c r="G11" i="17" s="1"/>
  <c r="F16" i="17"/>
  <c r="G16" i="17" s="1"/>
  <c r="F23" i="17"/>
  <c r="G23" i="17" s="1"/>
  <c r="H11" i="17"/>
  <c r="I17" i="17"/>
  <c r="F18" i="17"/>
  <c r="H23" i="17"/>
  <c r="F26" i="17"/>
  <c r="G26" i="17" s="1"/>
  <c r="F12" i="17"/>
  <c r="G12" i="17" s="1"/>
  <c r="H14" i="17"/>
  <c r="G3" i="17"/>
  <c r="I29" i="17"/>
  <c r="H29" i="17"/>
  <c r="F29" i="17"/>
  <c r="G29" i="17" s="1"/>
  <c r="H20" i="17"/>
  <c r="Q40" i="17"/>
  <c r="I20" i="17"/>
  <c r="F5" i="17"/>
  <c r="G5" i="17" s="1"/>
  <c r="F10" i="17"/>
  <c r="G10" i="17" s="1"/>
  <c r="I14" i="17"/>
  <c r="F17" i="17"/>
  <c r="G17" i="17" s="1"/>
  <c r="F19" i="17"/>
  <c r="G19" i="17" s="1"/>
  <c r="F21" i="17"/>
  <c r="H17" i="17"/>
  <c r="H26" i="17"/>
  <c r="F21" i="16"/>
  <c r="G21" i="16" s="1"/>
  <c r="F6" i="16"/>
  <c r="G6" i="16" s="1"/>
  <c r="F24" i="16"/>
  <c r="G24" i="16" s="1"/>
  <c r="F17" i="16"/>
  <c r="G17" i="16" s="1"/>
  <c r="F5" i="16"/>
  <c r="G5" i="16" s="1"/>
  <c r="F10" i="16"/>
  <c r="G10" i="16" s="1"/>
  <c r="I23" i="16"/>
  <c r="I29" i="16"/>
  <c r="F20" i="16"/>
  <c r="G20" i="16" s="1"/>
  <c r="H20" i="16"/>
  <c r="F11" i="16"/>
  <c r="G11" i="16" s="1"/>
  <c r="H17" i="16"/>
  <c r="F25" i="16"/>
  <c r="G25" i="16" s="1"/>
  <c r="F31" i="16"/>
  <c r="G31" i="16" s="1"/>
  <c r="F12" i="16"/>
  <c r="G12" i="16" s="1"/>
  <c r="H29" i="16"/>
  <c r="I32" i="16"/>
  <c r="H23" i="16"/>
  <c r="F7" i="16"/>
  <c r="G7" i="16" s="1"/>
  <c r="F18" i="16"/>
  <c r="G18" i="16" s="1"/>
  <c r="H11" i="16"/>
  <c r="F30" i="16"/>
  <c r="G30" i="16" s="1"/>
  <c r="F4" i="16"/>
  <c r="G4" i="16" s="1"/>
  <c r="F16" i="16"/>
  <c r="G16" i="16" s="1"/>
  <c r="F23" i="16"/>
  <c r="G23" i="16" s="1"/>
  <c r="Q44" i="16"/>
  <c r="F28" i="16"/>
  <c r="G28" i="16" s="1"/>
  <c r="F3" i="16"/>
  <c r="F13" i="16"/>
  <c r="G13" i="16" s="1"/>
  <c r="F15" i="16"/>
  <c r="G15" i="16" s="1"/>
  <c r="F8" i="16"/>
  <c r="G8" i="16" s="1"/>
  <c r="F26" i="16"/>
  <c r="G26" i="16" s="1"/>
  <c r="G32" i="16"/>
  <c r="H26" i="16"/>
  <c r="H32" i="16"/>
  <c r="I8" i="16"/>
  <c r="I17" i="16"/>
  <c r="I26" i="16"/>
  <c r="F9" i="16"/>
  <c r="G9" i="16" s="1"/>
  <c r="I14" i="16"/>
  <c r="H17" i="15"/>
  <c r="F7" i="15"/>
  <c r="G7" i="15" s="1"/>
  <c r="H26" i="15"/>
  <c r="H23" i="15"/>
  <c r="F29" i="15"/>
  <c r="G29" i="15" s="1"/>
  <c r="H29" i="15"/>
  <c r="H32" i="15"/>
  <c r="F33" i="15"/>
  <c r="G33" i="15" s="1"/>
  <c r="F34" i="15"/>
  <c r="G34" i="15" s="1"/>
  <c r="F35" i="15"/>
  <c r="G35" i="15" s="1"/>
  <c r="F32" i="15"/>
  <c r="G32" i="15" s="1"/>
  <c r="I29" i="15"/>
  <c r="F28" i="15"/>
  <c r="G28" i="15" s="1"/>
  <c r="F30" i="15"/>
  <c r="G30" i="15" s="1"/>
  <c r="F31" i="15"/>
  <c r="G31" i="15" s="1"/>
  <c r="F19" i="15"/>
  <c r="G19" i="15" s="1"/>
  <c r="F25" i="15"/>
  <c r="G25" i="15" s="1"/>
  <c r="F12" i="15"/>
  <c r="G12" i="15" s="1"/>
  <c r="I26" i="15"/>
  <c r="F18" i="15"/>
  <c r="G18" i="15" s="1"/>
  <c r="F24" i="15"/>
  <c r="G24" i="15" s="1"/>
  <c r="F5" i="15"/>
  <c r="G5" i="15" s="1"/>
  <c r="I20" i="15"/>
  <c r="F16" i="15"/>
  <c r="G16" i="15" s="1"/>
  <c r="F10" i="15"/>
  <c r="G10" i="15" s="1"/>
  <c r="F13" i="15"/>
  <c r="G13" i="15" s="1"/>
  <c r="H14" i="15"/>
  <c r="F21" i="15"/>
  <c r="G21" i="15" s="1"/>
  <c r="F22" i="15"/>
  <c r="G22" i="15" s="1"/>
  <c r="F9" i="15"/>
  <c r="G9" i="15" s="1"/>
  <c r="F15" i="15"/>
  <c r="G15" i="15" s="1"/>
  <c r="F23" i="15"/>
  <c r="G23" i="15" s="1"/>
  <c r="F27" i="15"/>
  <c r="G27" i="15" s="1"/>
  <c r="H11" i="15"/>
  <c r="I23" i="15"/>
  <c r="F14" i="15"/>
  <c r="G14" i="15" s="1"/>
  <c r="F4" i="15"/>
  <c r="G4" i="15" s="1"/>
  <c r="Q44" i="15"/>
  <c r="Q43" i="15"/>
  <c r="G3" i="15"/>
  <c r="I14" i="15"/>
  <c r="F26" i="15"/>
  <c r="G26" i="15" s="1"/>
  <c r="F8" i="15"/>
  <c r="G8" i="15" s="1"/>
  <c r="F6" i="15"/>
  <c r="G6" i="15" s="1"/>
  <c r="F11" i="15"/>
  <c r="G11" i="15" s="1"/>
  <c r="I17" i="15"/>
  <c r="F20" i="15"/>
  <c r="G20" i="15" s="1"/>
  <c r="F17" i="15"/>
  <c r="H20" i="15"/>
  <c r="I36" i="13"/>
  <c r="I37" i="14"/>
  <c r="E44" i="14" s="1"/>
  <c r="E45" i="14" s="1"/>
  <c r="Q60" i="21" l="1"/>
  <c r="Q59" i="21"/>
  <c r="Q58" i="21"/>
  <c r="F65" i="21"/>
  <c r="Q62" i="21" s="1"/>
  <c r="F62" i="20"/>
  <c r="Q59" i="20" s="1"/>
  <c r="Q55" i="20"/>
  <c r="Q55" i="19"/>
  <c r="Q51" i="18"/>
  <c r="Q50" i="18"/>
  <c r="Q49" i="18"/>
  <c r="Q52" i="18"/>
  <c r="Q48" i="18"/>
  <c r="G18" i="17"/>
  <c r="F41" i="17"/>
  <c r="F47" i="17" s="1"/>
  <c r="G4" i="17"/>
  <c r="F40" i="17"/>
  <c r="F46" i="17" s="1"/>
  <c r="Q45" i="17" s="1"/>
  <c r="F53" i="17"/>
  <c r="F52" i="17"/>
  <c r="F43" i="17"/>
  <c r="F45" i="17"/>
  <c r="F44" i="17"/>
  <c r="F51" i="17"/>
  <c r="G21" i="17"/>
  <c r="Q48" i="16"/>
  <c r="G3" i="16"/>
  <c r="Q48" i="15"/>
  <c r="G17" i="15"/>
  <c r="E46" i="14"/>
  <c r="E43" i="13"/>
  <c r="B28" i="14"/>
  <c r="D28" i="14" s="1"/>
  <c r="E35" i="14" s="1"/>
  <c r="E38" i="14"/>
  <c r="D27" i="14"/>
  <c r="D26" i="14"/>
  <c r="D25" i="14"/>
  <c r="E26" i="14" s="1"/>
  <c r="F26" i="14" s="1"/>
  <c r="D24" i="14"/>
  <c r="D23" i="14"/>
  <c r="D22" i="14"/>
  <c r="E23" i="14" s="1"/>
  <c r="F23" i="14" s="1"/>
  <c r="D21" i="14"/>
  <c r="D20" i="14"/>
  <c r="D19" i="14"/>
  <c r="D18" i="14"/>
  <c r="D17" i="14"/>
  <c r="D16" i="14"/>
  <c r="D15" i="14"/>
  <c r="D14" i="14"/>
  <c r="H14" i="14" s="1"/>
  <c r="D13" i="14"/>
  <c r="D12" i="14"/>
  <c r="D11" i="14"/>
  <c r="D10" i="14"/>
  <c r="D9" i="14"/>
  <c r="E9" i="14" s="1"/>
  <c r="F9" i="14" s="1"/>
  <c r="H8" i="14"/>
  <c r="D8" i="14"/>
  <c r="D7" i="14"/>
  <c r="E8" i="14" s="1"/>
  <c r="F8" i="14" s="1"/>
  <c r="D6" i="14"/>
  <c r="D5" i="14"/>
  <c r="D4" i="14"/>
  <c r="D3" i="14"/>
  <c r="E4" i="14" s="1"/>
  <c r="F4" i="14" s="1"/>
  <c r="E37" i="13"/>
  <c r="D27" i="13"/>
  <c r="E27" i="13" s="1"/>
  <c r="D26" i="13"/>
  <c r="H26" i="13" s="1"/>
  <c r="D25" i="13"/>
  <c r="E26" i="13" s="1"/>
  <c r="F26" i="13" s="1"/>
  <c r="D24" i="13"/>
  <c r="E45" i="13" s="1"/>
  <c r="D23" i="13"/>
  <c r="D22" i="13"/>
  <c r="E22" i="13" s="1"/>
  <c r="F22" i="13" s="1"/>
  <c r="D21" i="13"/>
  <c r="E21" i="13" s="1"/>
  <c r="F21" i="13" s="1"/>
  <c r="H20" i="13"/>
  <c r="G20" i="13"/>
  <c r="D20" i="13"/>
  <c r="E20" i="13" s="1"/>
  <c r="F20" i="13" s="1"/>
  <c r="D19" i="13"/>
  <c r="D18" i="13"/>
  <c r="E18" i="13" s="1"/>
  <c r="F18" i="13" s="1"/>
  <c r="H17" i="13"/>
  <c r="D17" i="13"/>
  <c r="G17" i="13" s="1"/>
  <c r="D16" i="13"/>
  <c r="D15" i="13"/>
  <c r="E15" i="13" s="1"/>
  <c r="D14" i="13"/>
  <c r="D13" i="13"/>
  <c r="D12" i="13"/>
  <c r="D11" i="13"/>
  <c r="G11" i="13" s="1"/>
  <c r="D10" i="13"/>
  <c r="E10" i="13" s="1"/>
  <c r="F10" i="13" s="1"/>
  <c r="D9" i="13"/>
  <c r="D8" i="13"/>
  <c r="H8" i="13" s="1"/>
  <c r="D7" i="13"/>
  <c r="E8" i="13" s="1"/>
  <c r="F8" i="13" s="1"/>
  <c r="D6" i="13"/>
  <c r="E6" i="13" s="1"/>
  <c r="F6" i="13" s="1"/>
  <c r="D5" i="13"/>
  <c r="E5" i="13" s="1"/>
  <c r="F5" i="13" s="1"/>
  <c r="D4" i="13"/>
  <c r="D3" i="13"/>
  <c r="E3" i="13" s="1"/>
  <c r="I36" i="12"/>
  <c r="E37" i="12"/>
  <c r="F44" i="14"/>
  <c r="F41" i="14"/>
  <c r="F47" i="13"/>
  <c r="F42" i="14"/>
  <c r="F39" i="14"/>
  <c r="F37" i="14"/>
  <c r="F38" i="13"/>
  <c r="F46" i="13"/>
  <c r="F39" i="13"/>
  <c r="F34" i="14"/>
  <c r="F47" i="14"/>
  <c r="F43" i="14"/>
  <c r="F44" i="13"/>
  <c r="F45" i="14"/>
  <c r="F35" i="14"/>
  <c r="F49" i="14"/>
  <c r="F46" i="14"/>
  <c r="F48" i="14"/>
  <c r="F38" i="14"/>
  <c r="F33" i="13"/>
  <c r="F36" i="14"/>
  <c r="F35" i="13"/>
  <c r="F34" i="13"/>
  <c r="F36" i="13"/>
  <c r="F41" i="13"/>
  <c r="F40" i="13"/>
  <c r="F45" i="13"/>
  <c r="F43" i="13"/>
  <c r="F40" i="14"/>
  <c r="F32" i="9"/>
  <c r="F42" i="13"/>
  <c r="F37" i="13"/>
  <c r="F48" i="13"/>
  <c r="F49" i="17" l="1"/>
  <c r="Q46" i="17" s="1"/>
  <c r="Q42" i="17"/>
  <c r="Q44" i="17"/>
  <c r="Q43" i="17"/>
  <c r="Q47" i="16"/>
  <c r="Q46" i="16"/>
  <c r="Q45" i="16"/>
  <c r="F52" i="16"/>
  <c r="Q49" i="16" s="1"/>
  <c r="Q49" i="15"/>
  <c r="Q45" i="15"/>
  <c r="Q47" i="15"/>
  <c r="Q46" i="15"/>
  <c r="E11" i="13"/>
  <c r="F11" i="13" s="1"/>
  <c r="G26" i="13"/>
  <c r="E33" i="13"/>
  <c r="P35" i="13" s="1"/>
  <c r="E34" i="14"/>
  <c r="P36" i="14" s="1"/>
  <c r="E16" i="13"/>
  <c r="G27" i="13"/>
  <c r="E34" i="13"/>
  <c r="P36" i="13" s="1"/>
  <c r="H27" i="13"/>
  <c r="E12" i="13"/>
  <c r="F12" i="13" s="1"/>
  <c r="E19" i="13"/>
  <c r="F19" i="13" s="1"/>
  <c r="E28" i="14"/>
  <c r="F28" i="14" s="1"/>
  <c r="E13" i="13"/>
  <c r="F13" i="13" s="1"/>
  <c r="E4" i="13"/>
  <c r="E9" i="13"/>
  <c r="F9" i="13" s="1"/>
  <c r="E14" i="13"/>
  <c r="F14" i="13" s="1"/>
  <c r="E5" i="14"/>
  <c r="F5" i="14" s="1"/>
  <c r="H28" i="14"/>
  <c r="E7" i="14"/>
  <c r="F7" i="14" s="1"/>
  <c r="E17" i="14"/>
  <c r="E21" i="14"/>
  <c r="F21" i="14" s="1"/>
  <c r="E10" i="14"/>
  <c r="F10" i="14" s="1"/>
  <c r="E18" i="14"/>
  <c r="F18" i="14" s="1"/>
  <c r="G11" i="14"/>
  <c r="E16" i="14"/>
  <c r="E19" i="14"/>
  <c r="F19" i="14" s="1"/>
  <c r="G28" i="14"/>
  <c r="G17" i="14"/>
  <c r="H26" i="14"/>
  <c r="E3" i="14"/>
  <c r="F3" i="14" s="1"/>
  <c r="E12" i="14"/>
  <c r="F12" i="14" s="1"/>
  <c r="E15" i="14"/>
  <c r="F15" i="14" s="1"/>
  <c r="G20" i="14"/>
  <c r="H23" i="14"/>
  <c r="H27" i="14"/>
  <c r="E14" i="14"/>
  <c r="F14" i="14" s="1"/>
  <c r="H20" i="14"/>
  <c r="E25" i="14"/>
  <c r="F25" i="14" s="1"/>
  <c r="E27" i="14"/>
  <c r="F27" i="14" s="1"/>
  <c r="F16" i="14"/>
  <c r="E13" i="14"/>
  <c r="F13" i="14" s="1"/>
  <c r="E6" i="14"/>
  <c r="F6" i="14" s="1"/>
  <c r="E11" i="14"/>
  <c r="F11" i="14" s="1"/>
  <c r="G14" i="14"/>
  <c r="H17" i="14"/>
  <c r="E20" i="14"/>
  <c r="F20" i="14" s="1"/>
  <c r="E22" i="14"/>
  <c r="F22" i="14" s="1"/>
  <c r="E24" i="14"/>
  <c r="F24" i="14" s="1"/>
  <c r="G26" i="14"/>
  <c r="G23" i="14"/>
  <c r="G27" i="14"/>
  <c r="P37" i="14"/>
  <c r="F27" i="13"/>
  <c r="F3" i="13"/>
  <c r="F15" i="13"/>
  <c r="G14" i="13"/>
  <c r="H14" i="13"/>
  <c r="E17" i="13"/>
  <c r="F17" i="13" s="1"/>
  <c r="G23" i="13"/>
  <c r="E7" i="13"/>
  <c r="F7" i="13" s="1"/>
  <c r="E23" i="13"/>
  <c r="F23" i="13" s="1"/>
  <c r="E25" i="13"/>
  <c r="F25" i="13" s="1"/>
  <c r="H23" i="13"/>
  <c r="E24" i="13"/>
  <c r="F24" i="13" s="1"/>
  <c r="E25" i="12"/>
  <c r="D25" i="12"/>
  <c r="D24" i="12"/>
  <c r="D26" i="12"/>
  <c r="E39" i="13" l="1"/>
  <c r="E33" i="12"/>
  <c r="F4" i="13"/>
  <c r="E38" i="13" s="1"/>
  <c r="E44" i="13" s="1"/>
  <c r="E46" i="13"/>
  <c r="F16" i="13"/>
  <c r="E36" i="13"/>
  <c r="E42" i="13" s="1"/>
  <c r="E35" i="13"/>
  <c r="E41" i="13" s="1"/>
  <c r="P40" i="13" s="1"/>
  <c r="E41" i="14"/>
  <c r="E40" i="14"/>
  <c r="E36" i="14"/>
  <c r="E42" i="14" s="1"/>
  <c r="P41" i="14" s="1"/>
  <c r="E47" i="14"/>
  <c r="F17" i="14"/>
  <c r="E39" i="14" s="1"/>
  <c r="E37" i="14"/>
  <c r="E43" i="14" s="1"/>
  <c r="E45" i="12"/>
  <c r="E40" i="13"/>
  <c r="E26" i="12"/>
  <c r="F26" i="12" s="1"/>
  <c r="F25" i="12"/>
  <c r="E43" i="12"/>
  <c r="D23" i="12"/>
  <c r="D22" i="12"/>
  <c r="D21" i="12"/>
  <c r="D20" i="12"/>
  <c r="E21" i="12" s="1"/>
  <c r="F21" i="12" s="1"/>
  <c r="D19" i="12"/>
  <c r="D18" i="12"/>
  <c r="D17" i="12"/>
  <c r="H17" i="12" s="1"/>
  <c r="D16" i="12"/>
  <c r="D15" i="12"/>
  <c r="D14" i="12"/>
  <c r="D13" i="12"/>
  <c r="D12" i="12"/>
  <c r="D11" i="12"/>
  <c r="E12" i="12" s="1"/>
  <c r="D10" i="12"/>
  <c r="D9" i="12"/>
  <c r="D8" i="12"/>
  <c r="D7" i="12"/>
  <c r="D6" i="12"/>
  <c r="D5" i="12"/>
  <c r="D4" i="12"/>
  <c r="E5" i="12" s="1"/>
  <c r="F5" i="12" s="1"/>
  <c r="D3" i="12"/>
  <c r="E3" i="12" s="1"/>
  <c r="I34" i="11"/>
  <c r="E41" i="11" s="1"/>
  <c r="E35" i="11"/>
  <c r="D21" i="11"/>
  <c r="D22" i="11"/>
  <c r="E22" i="11"/>
  <c r="F22" i="11" s="1"/>
  <c r="D23" i="11"/>
  <c r="E23" i="11" s="1"/>
  <c r="F23" i="11" s="1"/>
  <c r="F36" i="12"/>
  <c r="F38" i="12"/>
  <c r="F44" i="12"/>
  <c r="F35" i="12"/>
  <c r="F41" i="12"/>
  <c r="F47" i="12"/>
  <c r="F34" i="12"/>
  <c r="F37" i="12"/>
  <c r="F40" i="12"/>
  <c r="F42" i="12"/>
  <c r="F33" i="12"/>
  <c r="F45" i="12"/>
  <c r="F42" i="11"/>
  <c r="F39" i="12"/>
  <c r="F43" i="12"/>
  <c r="F48" i="12"/>
  <c r="F46" i="12"/>
  <c r="E49" i="14" l="1"/>
  <c r="P40" i="14" s="1"/>
  <c r="E48" i="14"/>
  <c r="P39" i="14" s="1"/>
  <c r="E22" i="12"/>
  <c r="F22" i="12" s="1"/>
  <c r="E43" i="11"/>
  <c r="E47" i="13"/>
  <c r="P38" i="13" s="1"/>
  <c r="E48" i="13"/>
  <c r="P39" i="13" s="1"/>
  <c r="E31" i="11"/>
  <c r="E13" i="12"/>
  <c r="F13" i="12" s="1"/>
  <c r="E6" i="12"/>
  <c r="F6" i="12" s="1"/>
  <c r="E15" i="12"/>
  <c r="H23" i="12"/>
  <c r="E24" i="12"/>
  <c r="F24" i="12" s="1"/>
  <c r="G26" i="12"/>
  <c r="E34" i="12"/>
  <c r="P36" i="12" s="1"/>
  <c r="E8" i="12"/>
  <c r="F8" i="12" s="1"/>
  <c r="E17" i="12"/>
  <c r="F17" i="12" s="1"/>
  <c r="H26" i="12"/>
  <c r="P42" i="14"/>
  <c r="P38" i="14"/>
  <c r="P41" i="13"/>
  <c r="P37" i="13"/>
  <c r="H14" i="12"/>
  <c r="H8" i="12"/>
  <c r="E10" i="12"/>
  <c r="F10" i="12" s="1"/>
  <c r="G17" i="12"/>
  <c r="P35" i="12"/>
  <c r="E7" i="12"/>
  <c r="F7" i="12" s="1"/>
  <c r="E19" i="12"/>
  <c r="F19" i="12" s="1"/>
  <c r="F12" i="12"/>
  <c r="F3" i="12"/>
  <c r="E11" i="12"/>
  <c r="F11" i="12" s="1"/>
  <c r="E20" i="12"/>
  <c r="F20" i="12" s="1"/>
  <c r="E4" i="12"/>
  <c r="E35" i="12" s="1"/>
  <c r="E41" i="12" s="1"/>
  <c r="E9" i="12"/>
  <c r="F9" i="12" s="1"/>
  <c r="G11" i="12"/>
  <c r="E14" i="12"/>
  <c r="F14" i="12" s="1"/>
  <c r="E16" i="12"/>
  <c r="F16" i="12" s="1"/>
  <c r="E18" i="12"/>
  <c r="F18" i="12" s="1"/>
  <c r="G20" i="12"/>
  <c r="H20" i="12"/>
  <c r="E23" i="12"/>
  <c r="F23" i="12" s="1"/>
  <c r="G14" i="12"/>
  <c r="G23" i="12"/>
  <c r="D20" i="11"/>
  <c r="G23" i="11" s="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D4" i="11"/>
  <c r="D3" i="11"/>
  <c r="E3" i="11" s="1"/>
  <c r="I29" i="10"/>
  <c r="D18" i="10"/>
  <c r="D19" i="10"/>
  <c r="D20" i="10"/>
  <c r="F31" i="11"/>
  <c r="F43" i="11"/>
  <c r="F41" i="11"/>
  <c r="F45" i="11"/>
  <c r="F34" i="11"/>
  <c r="F38" i="11"/>
  <c r="F46" i="11"/>
  <c r="F35" i="11"/>
  <c r="F44" i="11"/>
  <c r="F32" i="11"/>
  <c r="F33" i="11"/>
  <c r="F37" i="11"/>
  <c r="F39" i="11"/>
  <c r="F36" i="11"/>
  <c r="F40" i="11"/>
  <c r="E11" i="11" l="1"/>
  <c r="F11" i="11" s="1"/>
  <c r="F15" i="12"/>
  <c r="E36" i="12"/>
  <c r="E42" i="12" s="1"/>
  <c r="E6" i="11"/>
  <c r="F6" i="11" s="1"/>
  <c r="E46" i="12"/>
  <c r="E39" i="12"/>
  <c r="E15" i="11"/>
  <c r="F15" i="11" s="1"/>
  <c r="E40" i="12"/>
  <c r="E19" i="10"/>
  <c r="F19" i="10" s="1"/>
  <c r="E16" i="11"/>
  <c r="F16" i="11" s="1"/>
  <c r="P40" i="12"/>
  <c r="F4" i="12"/>
  <c r="E38" i="12" s="1"/>
  <c r="E20" i="10"/>
  <c r="F20" i="10" s="1"/>
  <c r="F3" i="11"/>
  <c r="E38" i="11"/>
  <c r="E26" i="10"/>
  <c r="E4" i="11"/>
  <c r="E33" i="11" s="1"/>
  <c r="E39" i="11" s="1"/>
  <c r="G20" i="11"/>
  <c r="H23" i="11"/>
  <c r="E21" i="11"/>
  <c r="F21" i="11" s="1"/>
  <c r="E32" i="11"/>
  <c r="P34" i="11" s="1"/>
  <c r="E18" i="11"/>
  <c r="F18" i="11" s="1"/>
  <c r="E8" i="11"/>
  <c r="F8" i="11" s="1"/>
  <c r="E14" i="11"/>
  <c r="F14" i="11" s="1"/>
  <c r="E19" i="11"/>
  <c r="F19" i="11" s="1"/>
  <c r="H8" i="11"/>
  <c r="E13" i="11"/>
  <c r="F13" i="11" s="1"/>
  <c r="G14" i="11"/>
  <c r="H20" i="11"/>
  <c r="G11" i="11"/>
  <c r="E7" i="11"/>
  <c r="F7" i="11" s="1"/>
  <c r="E9" i="11"/>
  <c r="F9" i="11" s="1"/>
  <c r="E12" i="11"/>
  <c r="G17" i="11"/>
  <c r="P33" i="11"/>
  <c r="F4" i="11"/>
  <c r="H17" i="11"/>
  <c r="E20" i="11"/>
  <c r="F20" i="11" s="1"/>
  <c r="E5" i="11"/>
  <c r="F5" i="11" s="1"/>
  <c r="E10" i="11"/>
  <c r="F10" i="11" s="1"/>
  <c r="H14" i="11"/>
  <c r="E17" i="11"/>
  <c r="F17" i="11" s="1"/>
  <c r="E30" i="10"/>
  <c r="E36" i="10"/>
  <c r="D17" i="10"/>
  <c r="G20" i="10" s="1"/>
  <c r="D16" i="10"/>
  <c r="D15" i="10"/>
  <c r="D14" i="10"/>
  <c r="D13" i="10"/>
  <c r="D12" i="10"/>
  <c r="D11" i="10"/>
  <c r="G11" i="10" s="1"/>
  <c r="D10" i="10"/>
  <c r="D9" i="10"/>
  <c r="D8" i="10"/>
  <c r="E27" i="10" s="1"/>
  <c r="D7" i="10"/>
  <c r="D6" i="10"/>
  <c r="D5" i="10"/>
  <c r="D4" i="10"/>
  <c r="D3" i="10"/>
  <c r="E3" i="10" s="1"/>
  <c r="F38" i="10"/>
  <c r="F33" i="10"/>
  <c r="F29" i="10"/>
  <c r="F32" i="10"/>
  <c r="F35" i="10"/>
  <c r="F40" i="10"/>
  <c r="F39" i="10"/>
  <c r="F30" i="10"/>
  <c r="F27" i="10"/>
  <c r="F31" i="10"/>
  <c r="F37" i="10"/>
  <c r="F26" i="10"/>
  <c r="F36" i="10"/>
  <c r="F41" i="10"/>
  <c r="F28" i="10"/>
  <c r="F34" i="10"/>
  <c r="E47" i="12" l="1"/>
  <c r="E48" i="12"/>
  <c r="E44" i="11"/>
  <c r="E37" i="11"/>
  <c r="E44" i="12"/>
  <c r="P41" i="12" s="1"/>
  <c r="P37" i="12"/>
  <c r="P39" i="12"/>
  <c r="P38" i="12"/>
  <c r="E45" i="11"/>
  <c r="E46" i="11"/>
  <c r="E5" i="10"/>
  <c r="F5" i="10" s="1"/>
  <c r="E13" i="10"/>
  <c r="F13" i="10" s="1"/>
  <c r="E38" i="10"/>
  <c r="G14" i="10"/>
  <c r="H14" i="10"/>
  <c r="E7" i="10"/>
  <c r="F7" i="10" s="1"/>
  <c r="F12" i="11"/>
  <c r="E36" i="11" s="1"/>
  <c r="E42" i="11" s="1"/>
  <c r="E34" i="11"/>
  <c r="E40" i="11" s="1"/>
  <c r="P29" i="10"/>
  <c r="H8" i="10"/>
  <c r="H20" i="10"/>
  <c r="E12" i="10"/>
  <c r="F12" i="10" s="1"/>
  <c r="E10" i="10"/>
  <c r="F10" i="10" s="1"/>
  <c r="E17" i="10"/>
  <c r="F17" i="10" s="1"/>
  <c r="H17" i="10"/>
  <c r="E18" i="10"/>
  <c r="F18" i="10" s="1"/>
  <c r="P38" i="11"/>
  <c r="G17" i="10"/>
  <c r="E8" i="10"/>
  <c r="F8" i="10" s="1"/>
  <c r="E15" i="10"/>
  <c r="F15" i="10" s="1"/>
  <c r="E16" i="10"/>
  <c r="F16" i="10" s="1"/>
  <c r="E11" i="10"/>
  <c r="F11" i="10" s="1"/>
  <c r="P28" i="10"/>
  <c r="E6" i="10"/>
  <c r="F6" i="10" s="1"/>
  <c r="F3" i="10"/>
  <c r="E9" i="10"/>
  <c r="E14" i="10"/>
  <c r="F14" i="10" s="1"/>
  <c r="E4" i="10"/>
  <c r="F4" i="10" s="1"/>
  <c r="I27" i="9"/>
  <c r="E28" i="9"/>
  <c r="D15" i="9"/>
  <c r="D16" i="9"/>
  <c r="D17" i="9"/>
  <c r="E17" i="9" s="1"/>
  <c r="F28" i="9"/>
  <c r="F37" i="9"/>
  <c r="F38" i="9"/>
  <c r="E24" i="9" l="1"/>
  <c r="P26" i="9" s="1"/>
  <c r="P39" i="11"/>
  <c r="P35" i="11"/>
  <c r="E31" i="10"/>
  <c r="E33" i="10"/>
  <c r="E28" i="10"/>
  <c r="E32" i="10"/>
  <c r="E16" i="9"/>
  <c r="F16" i="9" s="1"/>
  <c r="F9" i="10"/>
  <c r="E29" i="10"/>
  <c r="E35" i="10" s="1"/>
  <c r="P37" i="11"/>
  <c r="P36" i="11"/>
  <c r="E39" i="10"/>
  <c r="E34" i="10"/>
  <c r="P33" i="10" s="1"/>
  <c r="F17" i="9"/>
  <c r="E34" i="9"/>
  <c r="D14" i="9"/>
  <c r="D13" i="9"/>
  <c r="D12" i="9"/>
  <c r="D11" i="9"/>
  <c r="D10" i="9"/>
  <c r="E10" i="9" s="1"/>
  <c r="F10" i="9" s="1"/>
  <c r="D9" i="9"/>
  <c r="D8" i="9"/>
  <c r="D7" i="9"/>
  <c r="D6" i="9"/>
  <c r="D5" i="9"/>
  <c r="E6" i="9" s="1"/>
  <c r="D4" i="9"/>
  <c r="D3" i="9"/>
  <c r="E34" i="8"/>
  <c r="I27" i="8"/>
  <c r="E28" i="8"/>
  <c r="D12" i="8"/>
  <c r="D13" i="8"/>
  <c r="E13" i="8" s="1"/>
  <c r="F13" i="8" s="1"/>
  <c r="D14" i="8"/>
  <c r="E24" i="8" s="1"/>
  <c r="P26" i="8" s="1"/>
  <c r="F27" i="9"/>
  <c r="F29" i="9"/>
  <c r="F26" i="9"/>
  <c r="F25" i="9"/>
  <c r="F31" i="9"/>
  <c r="F33" i="9"/>
  <c r="F36" i="9"/>
  <c r="F24" i="8"/>
  <c r="F30" i="9"/>
  <c r="F34" i="9"/>
  <c r="F24" i="9"/>
  <c r="F35" i="9"/>
  <c r="F39" i="9"/>
  <c r="E4" i="9" l="1"/>
  <c r="F4" i="9" s="1"/>
  <c r="E9" i="9"/>
  <c r="F9" i="9" s="1"/>
  <c r="G11" i="9"/>
  <c r="E12" i="9"/>
  <c r="F12" i="9" s="1"/>
  <c r="E7" i="9"/>
  <c r="F7" i="9" s="1"/>
  <c r="G14" i="9"/>
  <c r="G17" i="9"/>
  <c r="E15" i="9"/>
  <c r="F15" i="9" s="1"/>
  <c r="F6" i="9"/>
  <c r="E13" i="9"/>
  <c r="F13" i="9" s="1"/>
  <c r="E36" i="9"/>
  <c r="E8" i="9"/>
  <c r="F8" i="9" s="1"/>
  <c r="E25" i="9"/>
  <c r="P27" i="9" s="1"/>
  <c r="E14" i="8"/>
  <c r="F14" i="8" s="1"/>
  <c r="E37" i="10"/>
  <c r="P34" i="10" s="1"/>
  <c r="P30" i="10"/>
  <c r="E41" i="10"/>
  <c r="P32" i="10" s="1"/>
  <c r="E40" i="10"/>
  <c r="P31" i="10" s="1"/>
  <c r="E3" i="9"/>
  <c r="E11" i="9"/>
  <c r="F11" i="9" s="1"/>
  <c r="E5" i="9"/>
  <c r="F5" i="9" s="1"/>
  <c r="E14" i="9"/>
  <c r="F14" i="9" s="1"/>
  <c r="D11" i="8"/>
  <c r="D10" i="8"/>
  <c r="D9" i="8"/>
  <c r="D8" i="8"/>
  <c r="D7" i="8"/>
  <c r="D6" i="8"/>
  <c r="D5" i="8"/>
  <c r="D4" i="8"/>
  <c r="E5" i="8" s="1"/>
  <c r="F5" i="8" s="1"/>
  <c r="D3" i="8"/>
  <c r="E3" i="8" s="1"/>
  <c r="E28" i="7"/>
  <c r="I27" i="7"/>
  <c r="E34" i="7" s="1"/>
  <c r="D9" i="7"/>
  <c r="D10" i="7"/>
  <c r="E10" i="7" s="1"/>
  <c r="F10" i="7" s="1"/>
  <c r="D11" i="7"/>
  <c r="F35" i="8"/>
  <c r="F31" i="8"/>
  <c r="F28" i="8"/>
  <c r="F34" i="8"/>
  <c r="F25" i="8"/>
  <c r="F37" i="8"/>
  <c r="F42" i="4"/>
  <c r="F27" i="8"/>
  <c r="F33" i="8"/>
  <c r="F32" i="8"/>
  <c r="F29" i="8"/>
  <c r="F38" i="8"/>
  <c r="F36" i="8"/>
  <c r="F30" i="8"/>
  <c r="F41" i="4"/>
  <c r="F39" i="8"/>
  <c r="F26" i="8"/>
  <c r="F38" i="4"/>
  <c r="E27" i="9" l="1"/>
  <c r="E33" i="9" s="1"/>
  <c r="E11" i="8"/>
  <c r="F11" i="8" s="1"/>
  <c r="G11" i="8"/>
  <c r="E12" i="8"/>
  <c r="F12" i="8" s="1"/>
  <c r="G14" i="8"/>
  <c r="E6" i="8"/>
  <c r="F6" i="8" s="1"/>
  <c r="E8" i="8"/>
  <c r="F8" i="8" s="1"/>
  <c r="E31" i="9"/>
  <c r="E30" i="9"/>
  <c r="E26" i="9"/>
  <c r="E37" i="9"/>
  <c r="E38" i="9" s="1"/>
  <c r="E7" i="8"/>
  <c r="F7" i="8" s="1"/>
  <c r="E36" i="8"/>
  <c r="E9" i="8"/>
  <c r="F9" i="8" s="1"/>
  <c r="E10" i="8"/>
  <c r="F10" i="8" s="1"/>
  <c r="E25" i="8"/>
  <c r="P27" i="8" s="1"/>
  <c r="F3" i="9"/>
  <c r="E29" i="9" s="1"/>
  <c r="F3" i="8"/>
  <c r="E4" i="8"/>
  <c r="F4" i="8" s="1"/>
  <c r="E11" i="7"/>
  <c r="F11" i="7" s="1"/>
  <c r="E24" i="7"/>
  <c r="E32" i="9" l="1"/>
  <c r="P31" i="9" s="1"/>
  <c r="E37" i="8"/>
  <c r="E38" i="8" s="1"/>
  <c r="P29" i="8" s="1"/>
  <c r="E29" i="8"/>
  <c r="E30" i="8"/>
  <c r="E26" i="8"/>
  <c r="E32" i="8" s="1"/>
  <c r="P31" i="8" s="1"/>
  <c r="P28" i="9"/>
  <c r="E35" i="9"/>
  <c r="P32" i="9" s="1"/>
  <c r="E27" i="8"/>
  <c r="E33" i="8" s="1"/>
  <c r="E39" i="9"/>
  <c r="P30" i="9" s="1"/>
  <c r="P29" i="9"/>
  <c r="E31" i="8"/>
  <c r="D8" i="7"/>
  <c r="D7" i="7"/>
  <c r="D6" i="7"/>
  <c r="D5" i="7"/>
  <c r="D4" i="7"/>
  <c r="D3" i="7"/>
  <c r="E3" i="7" s="1"/>
  <c r="G28" i="3"/>
  <c r="I26" i="6"/>
  <c r="E33" i="6" s="1"/>
  <c r="D5" i="6"/>
  <c r="E23" i="6" s="1"/>
  <c r="P25" i="6" s="1"/>
  <c r="E37" i="6"/>
  <c r="P32" i="6" s="1"/>
  <c r="E27" i="6"/>
  <c r="E4" i="6"/>
  <c r="F4" i="6" s="1"/>
  <c r="E3" i="6"/>
  <c r="E28" i="5"/>
  <c r="D7" i="5"/>
  <c r="D8" i="5"/>
  <c r="D6" i="5"/>
  <c r="F26" i="6"/>
  <c r="F23" i="6"/>
  <c r="F33" i="7"/>
  <c r="F24" i="6"/>
  <c r="F29" i="7"/>
  <c r="F31" i="7"/>
  <c r="F34" i="7"/>
  <c r="F33" i="6"/>
  <c r="F38" i="7"/>
  <c r="F27" i="7"/>
  <c r="F30" i="6"/>
  <c r="F28" i="6"/>
  <c r="F32" i="7"/>
  <c r="F38" i="6"/>
  <c r="F26" i="7"/>
  <c r="F25" i="6"/>
  <c r="F39" i="6"/>
  <c r="F39" i="7"/>
  <c r="F24" i="7"/>
  <c r="F27" i="6"/>
  <c r="F28" i="7"/>
  <c r="F32" i="6"/>
  <c r="F37" i="7"/>
  <c r="F34" i="6"/>
  <c r="F30" i="7"/>
  <c r="F40" i="6"/>
  <c r="F35" i="7"/>
  <c r="F37" i="6"/>
  <c r="F29" i="6"/>
  <c r="F36" i="7"/>
  <c r="F25" i="7"/>
  <c r="F31" i="6"/>
  <c r="E24" i="6" l="1"/>
  <c r="P26" i="6" s="1"/>
  <c r="E35" i="8"/>
  <c r="P32" i="8" s="1"/>
  <c r="P28" i="8"/>
  <c r="E39" i="8"/>
  <c r="P30" i="8" s="1"/>
  <c r="E4" i="7"/>
  <c r="E5" i="7"/>
  <c r="F5" i="7" s="1"/>
  <c r="E5" i="6"/>
  <c r="E36" i="7"/>
  <c r="E6" i="7"/>
  <c r="F6" i="7" s="1"/>
  <c r="E7" i="7"/>
  <c r="F7" i="7" s="1"/>
  <c r="E8" i="7"/>
  <c r="E9" i="7"/>
  <c r="F9" i="7" s="1"/>
  <c r="E25" i="7"/>
  <c r="P27" i="7" s="1"/>
  <c r="G11" i="7"/>
  <c r="E25" i="5"/>
  <c r="P27" i="5" s="1"/>
  <c r="E8" i="5"/>
  <c r="F8" i="5" s="1"/>
  <c r="E24" i="5"/>
  <c r="P26" i="5" s="1"/>
  <c r="E7" i="5"/>
  <c r="F7" i="5" s="1"/>
  <c r="P26" i="7"/>
  <c r="F3" i="7"/>
  <c r="F8" i="7"/>
  <c r="F3" i="6"/>
  <c r="D5" i="5"/>
  <c r="G8" i="5" s="1"/>
  <c r="D4" i="5"/>
  <c r="E36" i="5" s="1"/>
  <c r="D3" i="5"/>
  <c r="E3" i="5" s="1"/>
  <c r="I27" i="5"/>
  <c r="E34" i="5" s="1"/>
  <c r="F33" i="5"/>
  <c r="F35" i="5"/>
  <c r="F29" i="5"/>
  <c r="F28" i="5"/>
  <c r="F32" i="5"/>
  <c r="F25" i="5"/>
  <c r="F30" i="5"/>
  <c r="F24" i="5"/>
  <c r="F37" i="5"/>
  <c r="F31" i="5"/>
  <c r="F27" i="5"/>
  <c r="F34" i="5"/>
  <c r="F38" i="5"/>
  <c r="F36" i="5"/>
  <c r="F39" i="5"/>
  <c r="F26" i="5"/>
  <c r="E27" i="7" l="1"/>
  <c r="E33" i="7" s="1"/>
  <c r="F4" i="7"/>
  <c r="E30" i="7"/>
  <c r="E31" i="7"/>
  <c r="E37" i="7"/>
  <c r="E30" i="6"/>
  <c r="F5" i="6"/>
  <c r="E28" i="6" s="1"/>
  <c r="E29" i="6"/>
  <c r="E26" i="6"/>
  <c r="E32" i="6" s="1"/>
  <c r="E38" i="6"/>
  <c r="E25" i="6"/>
  <c r="E31" i="6" s="1"/>
  <c r="P30" i="6" s="1"/>
  <c r="E26" i="7"/>
  <c r="E32" i="7" s="1"/>
  <c r="P31" i="7" s="1"/>
  <c r="E29" i="7"/>
  <c r="E35" i="7" s="1"/>
  <c r="E4" i="5"/>
  <c r="E5" i="5"/>
  <c r="F5" i="5" s="1"/>
  <c r="E6" i="5"/>
  <c r="F6" i="5" s="1"/>
  <c r="F3" i="5"/>
  <c r="E26" i="5" l="1"/>
  <c r="E32" i="5" s="1"/>
  <c r="E34" i="6"/>
  <c r="P31" i="6" s="1"/>
  <c r="P27" i="6"/>
  <c r="E31" i="5"/>
  <c r="F4" i="5"/>
  <c r="E29" i="5" s="1"/>
  <c r="E35" i="5" s="1"/>
  <c r="E40" i="6"/>
  <c r="P29" i="6" s="1"/>
  <c r="E39" i="6"/>
  <c r="P28" i="6" s="1"/>
  <c r="E27" i="5"/>
  <c r="E33" i="5" s="1"/>
  <c r="E30" i="5"/>
  <c r="E37" i="5"/>
  <c r="E38" i="7"/>
  <c r="P29" i="7" s="1"/>
  <c r="E39" i="7"/>
  <c r="P30" i="7" s="1"/>
  <c r="P31" i="5"/>
  <c r="P32" i="7"/>
  <c r="P28" i="7"/>
  <c r="E39" i="5" l="1"/>
  <c r="P30" i="5" s="1"/>
  <c r="E38" i="5"/>
  <c r="P29" i="5" s="1"/>
  <c r="P32" i="5"/>
  <c r="P28" i="5"/>
  <c r="I30" i="4"/>
  <c r="E37" i="4" s="1"/>
  <c r="E31" i="4"/>
  <c r="D4" i="4"/>
  <c r="D5" i="4"/>
  <c r="E27" i="4" s="1"/>
  <c r="D3" i="4"/>
  <c r="E3" i="4" s="1"/>
  <c r="F31" i="4"/>
  <c r="F36" i="4"/>
  <c r="F30" i="4"/>
  <c r="F28" i="4"/>
  <c r="F37" i="4"/>
  <c r="F33" i="4"/>
  <c r="F29" i="4"/>
  <c r="F35" i="4"/>
  <c r="F27" i="4"/>
  <c r="F34" i="4"/>
  <c r="F40" i="4"/>
  <c r="F39" i="4"/>
  <c r="F32" i="4"/>
  <c r="F3" i="4" l="1"/>
  <c r="E5" i="4"/>
  <c r="F5" i="4" s="1"/>
  <c r="E39" i="4"/>
  <c r="P26" i="4"/>
  <c r="E28" i="4"/>
  <c r="P27" i="4" s="1"/>
  <c r="E4" i="4"/>
  <c r="E33" i="4" s="1"/>
  <c r="E30" i="4" l="1"/>
  <c r="E36" i="4" s="1"/>
  <c r="F4" i="4"/>
  <c r="E29" i="4"/>
  <c r="E35" i="4" s="1"/>
  <c r="P31" i="4" s="1"/>
  <c r="E34" i="4"/>
  <c r="E40" i="4"/>
  <c r="E32" i="4"/>
  <c r="E38" i="4" s="1"/>
  <c r="P32" i="4" s="1"/>
  <c r="E41" i="4" l="1"/>
  <c r="P29" i="4" s="1"/>
  <c r="E42" i="4"/>
  <c r="P30" i="4" s="1"/>
  <c r="P28" i="4"/>
  <c r="E4" i="2"/>
  <c r="E37" i="2"/>
  <c r="P32" i="2" s="1"/>
  <c r="E23" i="2"/>
  <c r="P25" i="2" s="1"/>
  <c r="E40" i="3"/>
  <c r="P32" i="3" s="1"/>
  <c r="I29" i="3" l="1"/>
  <c r="E36" i="3" s="1"/>
  <c r="I26" i="2"/>
  <c r="E33" i="2" s="1"/>
  <c r="E24" i="2"/>
  <c r="P26" i="2" s="1"/>
  <c r="E30" i="3"/>
  <c r="E27" i="3"/>
  <c r="P26" i="3" s="1"/>
  <c r="E26" i="3"/>
  <c r="P25" i="3" s="1"/>
  <c r="E3" i="3"/>
  <c r="F4" i="2"/>
  <c r="E27" i="2"/>
  <c r="E3" i="2"/>
  <c r="F30" i="3"/>
  <c r="F33" i="3"/>
  <c r="F31" i="2"/>
  <c r="F29" i="3"/>
  <c r="F27" i="2"/>
  <c r="F37" i="2"/>
  <c r="F38" i="2"/>
  <c r="F35" i="3"/>
  <c r="F43" i="3"/>
  <c r="F37" i="3"/>
  <c r="F25" i="2"/>
  <c r="F30" i="2"/>
  <c r="F23" i="2"/>
  <c r="F39" i="2"/>
  <c r="F34" i="2"/>
  <c r="F32" i="2"/>
  <c r="F34" i="3"/>
  <c r="F28" i="3"/>
  <c r="F24" i="2"/>
  <c r="F40" i="2"/>
  <c r="F40" i="3"/>
  <c r="F28" i="2"/>
  <c r="F29" i="2"/>
  <c r="F41" i="3"/>
  <c r="F32" i="3"/>
  <c r="F26" i="2"/>
  <c r="F26" i="3"/>
  <c r="F36" i="3"/>
  <c r="F31" i="3"/>
  <c r="F33" i="2"/>
  <c r="F42" i="3"/>
  <c r="F27" i="3"/>
  <c r="E30" i="2" l="1"/>
  <c r="E25" i="2"/>
  <c r="E31" i="2" s="1"/>
  <c r="P30" i="2" s="1"/>
  <c r="E26" i="2"/>
  <c r="E32" i="2" s="1"/>
  <c r="E29" i="2"/>
  <c r="E29" i="3"/>
  <c r="E35" i="3" s="1"/>
  <c r="E28" i="3"/>
  <c r="E34" i="3" s="1"/>
  <c r="P30" i="3" s="1"/>
  <c r="E32" i="3"/>
  <c r="E41" i="3"/>
  <c r="F3" i="3"/>
  <c r="E33" i="3"/>
  <c r="E38" i="2"/>
  <c r="E40" i="2" s="1"/>
  <c r="F3" i="2"/>
  <c r="E28" i="2" s="1"/>
  <c r="P27" i="2" s="1"/>
  <c r="E31" i="3" l="1"/>
  <c r="E37" i="3" s="1"/>
  <c r="E34" i="2"/>
  <c r="P31" i="2" s="1"/>
  <c r="P29" i="2"/>
  <c r="E39" i="2"/>
  <c r="P31" i="3"/>
  <c r="E43" i="3"/>
  <c r="P29" i="3" s="1"/>
  <c r="E42" i="3"/>
  <c r="P28" i="3" s="1"/>
  <c r="P27" i="3" l="1"/>
  <c r="P28" i="2"/>
</calcChain>
</file>

<file path=xl/sharedStrings.xml><?xml version="1.0" encoding="utf-8"?>
<sst xmlns="http://schemas.openxmlformats.org/spreadsheetml/2006/main" count="786" uniqueCount="57">
  <si>
    <t>NAV/SHARE</t>
    <phoneticPr fontId="7" type="noConversion"/>
  </si>
  <si>
    <t>ITD</t>
    <phoneticPr fontId="7" type="noConversion"/>
  </si>
  <si>
    <t>YTD</t>
    <phoneticPr fontId="7" type="noConversion"/>
  </si>
  <si>
    <t>Sharpe</t>
    <phoneticPr fontId="7" type="noConversion"/>
  </si>
  <si>
    <t xml:space="preserve">Performance Matrix </t>
  </si>
  <si>
    <t>Rf rate</t>
    <phoneticPr fontId="7" type="noConversion"/>
  </si>
  <si>
    <t>Inception Date</t>
    <phoneticPr fontId="7" type="noConversion"/>
  </si>
  <si>
    <t>End Date</t>
    <phoneticPr fontId="7" type="noConversion"/>
  </si>
  <si>
    <t>MONTHLY RETURN</t>
    <phoneticPr fontId="7" type="noConversion"/>
  </si>
  <si>
    <t>Risk free rate</t>
    <phoneticPr fontId="7" type="noConversion"/>
  </si>
  <si>
    <t>Date</t>
  </si>
  <si>
    <t>PX_LAST</t>
  </si>
  <si>
    <t>Annualised Return</t>
    <phoneticPr fontId="7" type="noConversion"/>
  </si>
  <si>
    <t>Days</t>
    <phoneticPr fontId="7" type="noConversion"/>
  </si>
  <si>
    <t>No of data</t>
    <phoneticPr fontId="7" type="noConversion"/>
  </si>
  <si>
    <t>% Positive Months</t>
    <phoneticPr fontId="7" type="noConversion"/>
  </si>
  <si>
    <t>% Negative Months</t>
    <phoneticPr fontId="7" type="noConversion"/>
  </si>
  <si>
    <t xml:space="preserve">Annualised SD </t>
    <phoneticPr fontId="7" type="noConversion"/>
  </si>
  <si>
    <t>Trailing 12 Months SD</t>
    <phoneticPr fontId="7" type="noConversion"/>
  </si>
  <si>
    <t>Max Drawdown</t>
    <phoneticPr fontId="7" type="noConversion"/>
  </si>
  <si>
    <t>Annualized Return</t>
  </si>
  <si>
    <t>Annualized Volatility</t>
  </si>
  <si>
    <t>Sharpe Ratio</t>
  </si>
  <si>
    <t>Drawdown</t>
  </si>
  <si>
    <t>2021/9/31</t>
    <phoneticPr fontId="7" type="noConversion"/>
  </si>
  <si>
    <t xml:space="preserve">Inception </t>
    <phoneticPr fontId="7" type="noConversion"/>
  </si>
  <si>
    <r>
      <t xml:space="preserve">max </t>
    </r>
    <r>
      <rPr>
        <sz val="12"/>
        <color theme="1"/>
        <rFont val="新細明體"/>
        <family val="1"/>
        <scheme val="minor"/>
      </rPr>
      <t xml:space="preserve">Quarterly Gain </t>
    </r>
    <phoneticPr fontId="7" type="noConversion"/>
  </si>
  <si>
    <t>Quarterly SD (inception)</t>
    <phoneticPr fontId="7" type="noConversion"/>
  </si>
  <si>
    <t>Quarterly SD (12 months)</t>
    <phoneticPr fontId="7" type="noConversion"/>
  </si>
  <si>
    <t>% Negative Quarters</t>
  </si>
  <si>
    <t>% Negative Quarters</t>
    <phoneticPr fontId="7" type="noConversion"/>
  </si>
  <si>
    <r>
      <t xml:space="preserve">% Positive </t>
    </r>
    <r>
      <rPr>
        <sz val="12"/>
        <color theme="1"/>
        <rFont val="新細明體"/>
        <family val="1"/>
        <scheme val="major"/>
      </rPr>
      <t>Quarters</t>
    </r>
    <phoneticPr fontId="7" type="noConversion"/>
  </si>
  <si>
    <t xml:space="preserve">Return ITD </t>
  </si>
  <si>
    <t>Return YTD</t>
  </si>
  <si>
    <t>% Positive Quarters</t>
  </si>
  <si>
    <t>Monthly SD (12 months)</t>
    <phoneticPr fontId="7" type="noConversion"/>
  </si>
  <si>
    <t>Monthly SD (inception)</t>
    <phoneticPr fontId="7" type="noConversion"/>
  </si>
  <si>
    <r>
      <t xml:space="preserve">max </t>
    </r>
    <r>
      <rPr>
        <sz val="12"/>
        <color theme="1"/>
        <rFont val="新細明體"/>
        <family val="1"/>
        <scheme val="minor"/>
      </rPr>
      <t xml:space="preserve">Monthly Gain </t>
    </r>
    <phoneticPr fontId="7" type="noConversion"/>
  </si>
  <si>
    <r>
      <rPr>
        <sz val="12"/>
        <color theme="1"/>
        <rFont val="新細明體"/>
        <family val="1"/>
        <scheme val="minor"/>
      </rPr>
      <t>QUARTERLY RETURN</t>
    </r>
    <phoneticPr fontId="7" type="noConversion"/>
  </si>
  <si>
    <t>Indicative</t>
    <phoneticPr fontId="7" type="noConversion"/>
  </si>
  <si>
    <r>
      <t>m</t>
    </r>
    <r>
      <rPr>
        <sz val="12"/>
        <color theme="1"/>
        <rFont val="新細明體"/>
        <family val="1"/>
        <scheme val="minor"/>
      </rPr>
      <t>ax Quarterly Loss</t>
    </r>
    <phoneticPr fontId="7" type="noConversion"/>
  </si>
  <si>
    <t xml:space="preserve"> </t>
  </si>
  <si>
    <t>USGG10YR Index</t>
    <phoneticPr fontId="30" type="noConversion"/>
  </si>
  <si>
    <t>% Negative Months</t>
  </si>
  <si>
    <t>max Monthly Loss</t>
    <phoneticPr fontId="7" type="noConversion"/>
  </si>
  <si>
    <t>% Positive Months</t>
    <phoneticPr fontId="30" type="noConversion"/>
  </si>
  <si>
    <r>
      <t xml:space="preserve">% Positive </t>
    </r>
    <r>
      <rPr>
        <sz val="12"/>
        <color theme="1"/>
        <rFont val="新細明體"/>
        <family val="1"/>
        <scheme val="major"/>
      </rPr>
      <t>Month</t>
    </r>
    <r>
      <rPr>
        <sz val="12"/>
        <color theme="1"/>
        <rFont val="新細明體"/>
        <family val="1"/>
        <charset val="136"/>
      </rPr>
      <t>s</t>
    </r>
    <phoneticPr fontId="7" type="noConversion"/>
  </si>
  <si>
    <t xml:space="preserve">max Monthly Gain </t>
    <phoneticPr fontId="7" type="noConversion"/>
  </si>
  <si>
    <r>
      <t>PX_LAST</t>
    </r>
    <r>
      <rPr>
        <sz val="11"/>
        <color theme="1"/>
        <rFont val="新細明體"/>
        <family val="1"/>
        <scheme val="minor"/>
      </rPr>
      <t>_ASK</t>
    </r>
    <phoneticPr fontId="30" type="noConversion"/>
  </si>
  <si>
    <t xml:space="preserve">QUARTELY </t>
    <phoneticPr fontId="30" type="noConversion"/>
  </si>
  <si>
    <t>YTD</t>
    <phoneticPr fontId="30" type="noConversion"/>
  </si>
  <si>
    <t>QUARTELY/monthly</t>
    <phoneticPr fontId="30" type="noConversion"/>
  </si>
  <si>
    <t>add back dividend</t>
    <phoneticPr fontId="7" type="noConversion"/>
  </si>
  <si>
    <r>
      <t>Indicative</t>
    </r>
    <r>
      <rPr>
        <sz val="12"/>
        <color theme="1"/>
        <rFont val="新細明體"/>
        <family val="1"/>
        <scheme val="minor"/>
      </rPr>
      <t>/ Official</t>
    </r>
    <phoneticPr fontId="7" type="noConversion"/>
  </si>
  <si>
    <t>DVD by partial redemption</t>
    <phoneticPr fontId="30" type="noConversion"/>
  </si>
  <si>
    <r>
      <t>Shs</t>
    </r>
    <r>
      <rPr>
        <sz val="12"/>
        <color theme="1"/>
        <rFont val="新細明體"/>
        <family val="2"/>
        <charset val="136"/>
      </rPr>
      <t xml:space="preserve"> </t>
    </r>
    <r>
      <rPr>
        <sz val="12"/>
        <color theme="1"/>
        <rFont val="新細明體"/>
        <family val="2"/>
        <scheme val="minor"/>
      </rPr>
      <t>Outstanding</t>
    </r>
    <phoneticPr fontId="30" type="noConversion"/>
  </si>
  <si>
    <t>QUARTELY</t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</si>
</sst>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76" formatCode="0.0000000_ "/>
    <numFmt numFmtId="177" formatCode="0_);[Red]\(0\)"/>
    <numFmt numFmtId="178" formatCode="_ * #,##0.0000_ ;_ * \-#,##0.0000_ ;_ * &quot;-&quot;??_ ;_ @_ "/>
    <numFmt numFmtId="179" formatCode="0.000"/>
    <numFmt numFmtId="180" formatCode="0.000000%"/>
    <numFmt numFmtId="181" formatCode="_ * #,##0.00000_ ;_ * \-#,##0.00000_ ;_ * &quot;-&quot;??_ ;_ @_ "/>
    <numFmt numFmtId="182" formatCode="_ * #,##0.000_ ;_ * \-#,##0.000_ ;_ * &quot;-&quot;??_ ;_ @_ "/>
    <numFmt numFmtId="183" formatCode="_-* #,##0.00_-;\-* #,##0.00_-;_-* &quot;-&quot;??_-;_-@_-"/>
    <numFmt numFmtId="184" formatCode="#,##0.000"/>
  </numFmts>
  <fonts count="55">
    <font>
      <sz val="12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2"/>
      <color theme="1"/>
      <name val="新細明體"/>
      <family val="2"/>
      <scheme val="minor"/>
    </font>
    <font>
      <sz val="9"/>
      <name val="新細明體"/>
      <family val="3"/>
      <charset val="134"/>
      <scheme val="minor"/>
    </font>
    <font>
      <sz val="10"/>
      <name val="Arial"/>
      <family val="2"/>
    </font>
    <font>
      <b/>
      <sz val="18"/>
      <color theme="3"/>
      <name val="新細明體"/>
      <family val="2"/>
      <scheme val="major"/>
    </font>
    <font>
      <b/>
      <sz val="15"/>
      <color theme="3"/>
      <name val="新細明體"/>
      <family val="2"/>
      <scheme val="minor"/>
    </font>
    <font>
      <b/>
      <sz val="13"/>
      <color theme="3"/>
      <name val="新細明體"/>
      <family val="2"/>
      <scheme val="minor"/>
    </font>
    <font>
      <b/>
      <sz val="11"/>
      <color theme="3"/>
      <name val="新細明體"/>
      <family val="2"/>
      <scheme val="minor"/>
    </font>
    <font>
      <sz val="11"/>
      <color rgb="FF006100"/>
      <name val="新細明體"/>
      <family val="2"/>
      <scheme val="minor"/>
    </font>
    <font>
      <sz val="11"/>
      <color rgb="FF9C0006"/>
      <name val="新細明體"/>
      <family val="2"/>
      <scheme val="minor"/>
    </font>
    <font>
      <sz val="11"/>
      <color rgb="FF9C6500"/>
      <name val="新細明體"/>
      <family val="2"/>
      <scheme val="minor"/>
    </font>
    <font>
      <sz val="11"/>
      <color rgb="FF3F3F76"/>
      <name val="新細明體"/>
      <family val="2"/>
      <scheme val="minor"/>
    </font>
    <font>
      <b/>
      <sz val="11"/>
      <color rgb="FF3F3F3F"/>
      <name val="新細明體"/>
      <family val="2"/>
      <scheme val="minor"/>
    </font>
    <font>
      <b/>
      <sz val="11"/>
      <color rgb="FFFA7D00"/>
      <name val="新細明體"/>
      <family val="2"/>
      <scheme val="minor"/>
    </font>
    <font>
      <sz val="11"/>
      <color rgb="FFFA7D00"/>
      <name val="新細明體"/>
      <family val="2"/>
      <scheme val="minor"/>
    </font>
    <font>
      <b/>
      <sz val="11"/>
      <color theme="0"/>
      <name val="新細明體"/>
      <family val="2"/>
      <scheme val="minor"/>
    </font>
    <font>
      <sz val="11"/>
      <color rgb="FFFF0000"/>
      <name val="新細明體"/>
      <family val="2"/>
      <scheme val="minor"/>
    </font>
    <font>
      <i/>
      <sz val="11"/>
      <color rgb="FF7F7F7F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theme="0"/>
      <name val="新細明體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theme="1"/>
      <name val="微软雅黑"/>
      <family val="2"/>
      <charset val="134"/>
    </font>
    <font>
      <sz val="12"/>
      <color theme="1"/>
      <name val="新細明體"/>
      <family val="1"/>
      <scheme val="minor"/>
    </font>
    <font>
      <sz val="12"/>
      <color theme="1"/>
      <name val="新細明體"/>
      <family val="3"/>
      <charset val="134"/>
      <scheme val="minor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3"/>
      <charset val="134"/>
      <scheme val="major"/>
    </font>
    <font>
      <sz val="12"/>
      <color theme="1"/>
      <name val="新細明體"/>
      <family val="1"/>
      <scheme val="major"/>
    </font>
    <font>
      <sz val="11"/>
      <color rgb="FF000000"/>
      <name val="Times New Roman"/>
      <family val="1"/>
    </font>
    <font>
      <sz val="11"/>
      <color rgb="FF231815"/>
      <name val="Times New Roman"/>
      <family val="1"/>
    </font>
    <font>
      <sz val="12"/>
      <color theme="1"/>
      <name val="新細明體"/>
      <family val="3"/>
      <charset val="134"/>
      <scheme val="minor"/>
    </font>
    <font>
      <sz val="11"/>
      <color theme="1"/>
      <name val="新細明體"/>
      <family val="3"/>
      <charset val="134"/>
      <scheme val="minor"/>
    </font>
    <font>
      <sz val="11"/>
      <color rgb="FF231815"/>
      <name val="新細明體"/>
      <family val="3"/>
      <charset val="134"/>
      <scheme val="minor"/>
    </font>
    <font>
      <sz val="11"/>
      <color theme="1"/>
      <name val="Times New Roman"/>
      <family val="1"/>
    </font>
    <font>
      <sz val="12"/>
      <color theme="1"/>
      <name val="新細明體"/>
      <family val="1"/>
      <charset val="136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sz val="12"/>
      <name val="新細明體"/>
      <family val="1"/>
      <scheme val="minor"/>
    </font>
    <font>
      <sz val="12"/>
      <color theme="5"/>
      <name val="新細明體"/>
      <family val="2"/>
      <scheme val="minor"/>
    </font>
    <font>
      <sz val="11"/>
      <color theme="1"/>
      <name val="新細明體"/>
      <family val="1"/>
      <charset val="136"/>
      <scheme val="minor"/>
    </font>
    <font>
      <sz val="11"/>
      <color theme="1"/>
      <name val="新細明體"/>
      <family val="1"/>
      <scheme val="minor"/>
    </font>
    <font>
      <sz val="12"/>
      <color theme="1"/>
      <name val="Microsoft JhengHei"/>
      <family val="2"/>
      <charset val="134"/>
    </font>
    <font>
      <sz val="12"/>
      <color theme="1"/>
      <name val="新細明體"/>
      <family val="1"/>
      <charset val="136"/>
      <scheme val="minor"/>
    </font>
    <font>
      <sz val="12"/>
      <color rgb="FFFF0000"/>
      <name val="Microsoft JhengHei"/>
      <family val="2"/>
      <charset val="134"/>
    </font>
    <font>
      <sz val="12"/>
      <color theme="1"/>
      <name val="新細明體"/>
      <family val="2"/>
      <charset val="136"/>
    </font>
    <font>
      <sz val="12"/>
      <color theme="1"/>
      <name val="新細明體"/>
      <scheme val="minor"/>
    </font>
    <font>
      <b/>
      <sz val="12"/>
      <color theme="1"/>
      <name val="新細明體"/>
      <scheme val="minor"/>
    </font>
    <font>
      <sz val="12"/>
      <color rgb="FFFF0000"/>
      <name val="新細明體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9" fontId="6" fillId="0" borderId="0" applyFont="0" applyFill="0" applyBorder="0" applyAlignment="0" applyProtection="0">
      <alignment vertical="center"/>
    </xf>
    <xf numFmtId="0" fontId="5" fillId="0" borderId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6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3" borderId="0" applyNumberFormat="0" applyBorder="0" applyAlignment="0" applyProtection="0"/>
    <xf numFmtId="0" fontId="5" fillId="27" borderId="0" applyNumberFormat="0" applyBorder="0" applyAlignment="0" applyProtection="0"/>
    <xf numFmtId="0" fontId="5" fillId="31" borderId="0" applyNumberFormat="0" applyBorder="0" applyAlignment="0" applyProtection="0"/>
    <xf numFmtId="0" fontId="24" fillId="12" borderId="0" applyNumberFormat="0" applyBorder="0" applyAlignment="0" applyProtection="0"/>
    <xf numFmtId="0" fontId="24" fillId="16" borderId="0" applyNumberFormat="0" applyBorder="0" applyAlignment="0" applyProtection="0"/>
    <xf numFmtId="0" fontId="24" fillId="20" borderId="0" applyNumberFormat="0" applyBorder="0" applyAlignment="0" applyProtection="0"/>
    <xf numFmtId="0" fontId="24" fillId="24" borderId="0" applyNumberFormat="0" applyBorder="0" applyAlignment="0" applyProtection="0"/>
    <xf numFmtId="0" fontId="24" fillId="28" borderId="0" applyNumberFormat="0" applyBorder="0" applyAlignment="0" applyProtection="0"/>
    <xf numFmtId="0" fontId="24" fillId="32" borderId="0" applyNumberFormat="0" applyBorder="0" applyAlignment="0" applyProtection="0"/>
    <xf numFmtId="0" fontId="24" fillId="9" borderId="0" applyNumberFormat="0" applyBorder="0" applyAlignment="0" applyProtection="0"/>
    <xf numFmtId="0" fontId="24" fillId="13" borderId="0" applyNumberFormat="0" applyBorder="0" applyAlignment="0" applyProtection="0"/>
    <xf numFmtId="0" fontId="24" fillId="17" borderId="0" applyNumberFormat="0" applyBorder="0" applyAlignment="0" applyProtection="0"/>
    <xf numFmtId="0" fontId="24" fillId="21" borderId="0" applyNumberFormat="0" applyBorder="0" applyAlignment="0" applyProtection="0"/>
    <xf numFmtId="0" fontId="24" fillId="25" borderId="0" applyNumberFormat="0" applyBorder="0" applyAlignment="0" applyProtection="0"/>
    <xf numFmtId="0" fontId="24" fillId="29" borderId="0" applyNumberFormat="0" applyBorder="0" applyAlignment="0" applyProtection="0"/>
    <xf numFmtId="0" fontId="14" fillId="3" borderId="0" applyNumberFormat="0" applyBorder="0" applyAlignment="0" applyProtection="0"/>
    <xf numFmtId="0" fontId="18" fillId="6" borderId="10" applyNumberFormat="0" applyAlignment="0" applyProtection="0"/>
    <xf numFmtId="0" fontId="20" fillId="7" borderId="13" applyNumberFormat="0" applyAlignment="0" applyProtection="0"/>
    <xf numFmtId="0" fontId="22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10" fillId="0" borderId="7" applyNumberFormat="0" applyFill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2" fillId="0" borderId="0" applyNumberFormat="0" applyFill="0" applyBorder="0" applyAlignment="0" applyProtection="0"/>
    <xf numFmtId="0" fontId="16" fillId="5" borderId="10" applyNumberFormat="0" applyAlignment="0" applyProtection="0"/>
    <xf numFmtId="0" fontId="19" fillId="0" borderId="12" applyNumberFormat="0" applyFill="0" applyAlignment="0" applyProtection="0"/>
    <xf numFmtId="0" fontId="15" fillId="4" borderId="0" applyNumberFormat="0" applyBorder="0" applyAlignment="0" applyProtection="0"/>
    <xf numFmtId="0" fontId="5" fillId="8" borderId="14" applyNumberFormat="0" applyFont="0" applyAlignment="0" applyProtection="0"/>
    <xf numFmtId="0" fontId="17" fillId="6" borderId="11" applyNumberFormat="0" applyAlignment="0" applyProtection="0"/>
    <xf numFmtId="0" fontId="9" fillId="0" borderId="0" applyNumberFormat="0" applyFill="0" applyBorder="0" applyAlignment="0" applyProtection="0"/>
    <xf numFmtId="0" fontId="23" fillId="0" borderId="15" applyNumberFormat="0" applyFill="0" applyAlignment="0" applyProtection="0"/>
    <xf numFmtId="0" fontId="21" fillId="0" borderId="0" applyNumberFormat="0" applyFill="0" applyBorder="0" applyAlignment="0" applyProtection="0"/>
    <xf numFmtId="22" fontId="8" fillId="0" borderId="0"/>
    <xf numFmtId="43" fontId="6" fillId="0" borderId="0" applyFont="0" applyFill="0" applyBorder="0" applyAlignment="0" applyProtection="0">
      <alignment vertical="center"/>
    </xf>
  </cellStyleXfs>
  <cellXfs count="87">
    <xf numFmtId="0" fontId="0" fillId="0" borderId="0" xfId="0"/>
    <xf numFmtId="10" fontId="0" fillId="0" borderId="0" xfId="1" applyNumberFormat="1" applyFont="1" applyAlignment="1"/>
    <xf numFmtId="2" fontId="0" fillId="0" borderId="0" xfId="0" applyNumberFormat="1"/>
    <xf numFmtId="17" fontId="0" fillId="0" borderId="0" xfId="0" applyNumberFormat="1"/>
    <xf numFmtId="10" fontId="0" fillId="0" borderId="4" xfId="1" applyNumberFormat="1" applyFont="1" applyBorder="1" applyAlignment="1"/>
    <xf numFmtId="0" fontId="5" fillId="0" borderId="0" xfId="2"/>
    <xf numFmtId="176" fontId="0" fillId="0" borderId="0" xfId="0" applyNumberFormat="1"/>
    <xf numFmtId="177" fontId="0" fillId="0" borderId="4" xfId="1" applyNumberFormat="1" applyFont="1" applyBorder="1" applyAlignment="1"/>
    <xf numFmtId="10" fontId="0" fillId="0" borderId="4" xfId="0" applyNumberFormat="1" applyBorder="1"/>
    <xf numFmtId="177" fontId="0" fillId="0" borderId="0" xfId="1" applyNumberFormat="1" applyFont="1" applyBorder="1" applyAlignment="1"/>
    <xf numFmtId="10" fontId="0" fillId="0" borderId="0" xfId="1" applyNumberFormat="1" applyFont="1" applyBorder="1" applyAlignment="1"/>
    <xf numFmtId="10" fontId="0" fillId="0" borderId="6" xfId="1" applyNumberFormat="1" applyFont="1" applyBorder="1" applyAlignment="1"/>
    <xf numFmtId="0" fontId="25" fillId="0" borderId="0" xfId="0" applyFont="1" applyAlignment="1">
      <alignment horizontal="left" vertical="center" wrapText="1" readingOrder="1"/>
    </xf>
    <xf numFmtId="14" fontId="5" fillId="0" borderId="0" xfId="2" applyNumberFormat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0" fillId="0" borderId="5" xfId="0" applyBorder="1"/>
    <xf numFmtId="9" fontId="0" fillId="0" borderId="0" xfId="1" applyFont="1" applyBorder="1" applyAlignment="1"/>
    <xf numFmtId="43" fontId="0" fillId="0" borderId="0" xfId="45" applyFont="1" applyAlignment="1"/>
    <xf numFmtId="10" fontId="26" fillId="0" borderId="0" xfId="0" applyNumberFormat="1" applyFont="1"/>
    <xf numFmtId="9" fontId="26" fillId="0" borderId="0" xfId="0" applyNumberFormat="1" applyFont="1"/>
    <xf numFmtId="0" fontId="26" fillId="0" borderId="0" xfId="0" applyFont="1"/>
    <xf numFmtId="178" fontId="0" fillId="0" borderId="0" xfId="45" applyNumberFormat="1" applyFont="1" applyAlignment="1"/>
    <xf numFmtId="14" fontId="0" fillId="33" borderId="4" xfId="0" applyNumberFormat="1" applyFill="1" applyBorder="1" applyAlignment="1">
      <alignment horizontal="center" vertical="center"/>
    </xf>
    <xf numFmtId="0" fontId="29" fillId="0" borderId="3" xfId="0" applyFont="1" applyBorder="1"/>
    <xf numFmtId="14" fontId="4" fillId="0" borderId="0" xfId="2" applyNumberFormat="1" applyFont="1" applyAlignment="1">
      <alignment horizontal="left" vertical="center"/>
    </xf>
    <xf numFmtId="179" fontId="0" fillId="0" borderId="4" xfId="1" applyNumberFormat="1" applyFont="1" applyBorder="1" applyAlignment="1"/>
    <xf numFmtId="9" fontId="0" fillId="0" borderId="0" xfId="1" applyFont="1" applyAlignment="1"/>
    <xf numFmtId="0" fontId="31" fillId="0" borderId="0" xfId="0" applyFont="1"/>
    <xf numFmtId="0" fontId="33" fillId="0" borderId="0" xfId="0" applyFont="1" applyAlignment="1">
      <alignment horizontal="left" vertical="center" wrapText="1"/>
    </xf>
    <xf numFmtId="0" fontId="33" fillId="34" borderId="0" xfId="0" applyFont="1" applyFill="1" applyAlignment="1">
      <alignment horizontal="left" vertical="center" wrapText="1"/>
    </xf>
    <xf numFmtId="10" fontId="0" fillId="0" borderId="0" xfId="0" applyNumberFormat="1"/>
    <xf numFmtId="10" fontId="27" fillId="0" borderId="0" xfId="0" applyNumberFormat="1" applyFont="1"/>
    <xf numFmtId="9" fontId="0" fillId="0" borderId="0" xfId="0" applyNumberFormat="1"/>
    <xf numFmtId="179" fontId="0" fillId="0" borderId="0" xfId="0" applyNumberFormat="1"/>
    <xf numFmtId="10" fontId="34" fillId="0" borderId="0" xfId="0" applyNumberFormat="1" applyFont="1"/>
    <xf numFmtId="180" fontId="0" fillId="0" borderId="0" xfId="1" applyNumberFormat="1" applyFont="1" applyAlignment="1"/>
    <xf numFmtId="17" fontId="0" fillId="0" borderId="0" xfId="0" applyNumberFormat="1" applyAlignment="1">
      <alignment horizontal="right" indent="1"/>
    </xf>
    <xf numFmtId="4" fontId="0" fillId="0" borderId="0" xfId="0" applyNumberFormat="1" applyAlignment="1">
      <alignment horizontal="right" indent="1"/>
    </xf>
    <xf numFmtId="0" fontId="35" fillId="0" borderId="3" xfId="0" applyFont="1" applyBorder="1"/>
    <xf numFmtId="0" fontId="28" fillId="0" borderId="3" xfId="0" applyFont="1" applyBorder="1"/>
    <xf numFmtId="0" fontId="35" fillId="0" borderId="0" xfId="0" applyFont="1"/>
    <xf numFmtId="10" fontId="36" fillId="0" borderId="0" xfId="0" applyNumberFormat="1" applyFont="1"/>
    <xf numFmtId="9" fontId="36" fillId="0" borderId="0" xfId="0" applyNumberFormat="1" applyFont="1"/>
    <xf numFmtId="179" fontId="36" fillId="0" borderId="0" xfId="0" applyNumberFormat="1" applyFont="1"/>
    <xf numFmtId="10" fontId="37" fillId="0" borderId="0" xfId="0" applyNumberFormat="1" applyFont="1"/>
    <xf numFmtId="0" fontId="38" fillId="0" borderId="0" xfId="0" applyFont="1"/>
    <xf numFmtId="10" fontId="38" fillId="0" borderId="0" xfId="0" applyNumberFormat="1" applyFont="1"/>
    <xf numFmtId="9" fontId="38" fillId="0" borderId="0" xfId="0" applyNumberFormat="1" applyFont="1"/>
    <xf numFmtId="179" fontId="38" fillId="0" borderId="0" xfId="0" applyNumberFormat="1" applyFont="1"/>
    <xf numFmtId="181" fontId="0" fillId="0" borderId="0" xfId="45" applyNumberFormat="1" applyFont="1" applyAlignment="1"/>
    <xf numFmtId="9" fontId="0" fillId="0" borderId="4" xfId="1" applyFont="1" applyBorder="1" applyAlignment="1"/>
    <xf numFmtId="0" fontId="31" fillId="0" borderId="3" xfId="0" applyFont="1" applyBorder="1"/>
    <xf numFmtId="9" fontId="0" fillId="0" borderId="6" xfId="1" applyFont="1" applyBorder="1" applyAlignment="1"/>
    <xf numFmtId="17" fontId="40" fillId="0" borderId="0" xfId="0" applyNumberFormat="1" applyFont="1" applyAlignment="1">
      <alignment horizontal="right" indent="1"/>
    </xf>
    <xf numFmtId="0" fontId="40" fillId="0" borderId="0" xfId="0" applyFont="1"/>
    <xf numFmtId="2" fontId="40" fillId="0" borderId="0" xfId="0" applyNumberFormat="1" applyFont="1"/>
    <xf numFmtId="182" fontId="38" fillId="0" borderId="0" xfId="45" applyNumberFormat="1" applyFont="1" applyAlignment="1"/>
    <xf numFmtId="17" fontId="41" fillId="0" borderId="0" xfId="0" applyNumberFormat="1" applyFont="1" applyAlignment="1">
      <alignment horizontal="right" indent="1"/>
    </xf>
    <xf numFmtId="17" fontId="42" fillId="0" borderId="0" xfId="0" applyNumberFormat="1" applyFont="1" applyAlignment="1">
      <alignment horizontal="right" indent="1"/>
    </xf>
    <xf numFmtId="2" fontId="41" fillId="0" borderId="0" xfId="0" applyNumberFormat="1" applyFont="1"/>
    <xf numFmtId="0" fontId="43" fillId="0" borderId="3" xfId="0" applyFont="1" applyBorder="1"/>
    <xf numFmtId="0" fontId="44" fillId="0" borderId="3" xfId="0" applyFont="1" applyBorder="1"/>
    <xf numFmtId="0" fontId="44" fillId="0" borderId="5" xfId="0" applyFont="1" applyBorder="1"/>
    <xf numFmtId="0" fontId="45" fillId="0" borderId="0" xfId="0" applyFont="1"/>
    <xf numFmtId="0" fontId="46" fillId="0" borderId="0" xfId="2" applyFont="1"/>
    <xf numFmtId="43" fontId="0" fillId="0" borderId="0" xfId="0" applyNumberFormat="1"/>
    <xf numFmtId="0" fontId="48" fillId="0" borderId="0" xfId="0" applyFont="1"/>
    <xf numFmtId="183" fontId="0" fillId="0" borderId="0" xfId="0" applyNumberFormat="1"/>
    <xf numFmtId="2" fontId="49" fillId="0" borderId="0" xfId="0" applyNumberFormat="1" applyFont="1"/>
    <xf numFmtId="0" fontId="50" fillId="0" borderId="0" xfId="0" applyFont="1"/>
    <xf numFmtId="0" fontId="44" fillId="35" borderId="3" xfId="0" applyFont="1" applyFill="1" applyBorder="1"/>
    <xf numFmtId="179" fontId="0" fillId="35" borderId="4" xfId="1" applyNumberFormat="1" applyFont="1" applyFill="1" applyBorder="1" applyAlignment="1"/>
    <xf numFmtId="0" fontId="0" fillId="35" borderId="0" xfId="0" applyFill="1"/>
    <xf numFmtId="10" fontId="0" fillId="35" borderId="4" xfId="1" applyNumberFormat="1" applyFont="1" applyFill="1" applyBorder="1" applyAlignment="1"/>
    <xf numFmtId="0" fontId="52" fillId="0" borderId="0" xfId="0" applyFont="1"/>
    <xf numFmtId="17" fontId="53" fillId="0" borderId="0" xfId="0" applyNumberFormat="1" applyFont="1" applyAlignment="1">
      <alignment horizontal="right" indent="1"/>
    </xf>
    <xf numFmtId="17" fontId="52" fillId="0" borderId="0" xfId="0" applyNumberFormat="1" applyFont="1" applyAlignment="1">
      <alignment horizontal="right" indent="1"/>
    </xf>
    <xf numFmtId="184" fontId="0" fillId="0" borderId="0" xfId="0" applyNumberFormat="1"/>
    <xf numFmtId="14" fontId="3" fillId="0" borderId="0" xfId="2" applyNumberFormat="1" applyFont="1" applyAlignment="1">
      <alignment horizontal="left" vertical="center"/>
    </xf>
    <xf numFmtId="0" fontId="54" fillId="35" borderId="0" xfId="0" applyFont="1" applyFill="1"/>
    <xf numFmtId="14" fontId="2" fillId="0" borderId="0" xfId="2" applyNumberFormat="1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1" fillId="0" borderId="0" xfId="2" applyNumberFormat="1" applyFont="1" applyAlignment="1">
      <alignment horizontal="left" vertical="center"/>
    </xf>
  </cellXfs>
  <cellStyles count="46">
    <cellStyle name="20% - 着色 1 2" xfId="3" xr:uid="{00000000-0005-0000-0000-000000000000}"/>
    <cellStyle name="20% - 着色 2 2" xfId="4" xr:uid="{00000000-0005-0000-0000-000001000000}"/>
    <cellStyle name="20% - 着色 3 2" xfId="5" xr:uid="{00000000-0005-0000-0000-000002000000}"/>
    <cellStyle name="20% - 着色 4 2" xfId="6" xr:uid="{00000000-0005-0000-0000-000003000000}"/>
    <cellStyle name="20% - 着色 5 2" xfId="7" xr:uid="{00000000-0005-0000-0000-000004000000}"/>
    <cellStyle name="20% - 着色 6 2" xfId="8" xr:uid="{00000000-0005-0000-0000-000005000000}"/>
    <cellStyle name="40% - 着色 1 2" xfId="9" xr:uid="{00000000-0005-0000-0000-000006000000}"/>
    <cellStyle name="40% - 着色 2 2" xfId="10" xr:uid="{00000000-0005-0000-0000-000007000000}"/>
    <cellStyle name="40% - 着色 3 2" xfId="11" xr:uid="{00000000-0005-0000-0000-000008000000}"/>
    <cellStyle name="40% - 着色 4 2" xfId="12" xr:uid="{00000000-0005-0000-0000-000009000000}"/>
    <cellStyle name="40% - 着色 5 2" xfId="13" xr:uid="{00000000-0005-0000-0000-00000A000000}"/>
    <cellStyle name="40% - 着色 6 2" xfId="14" xr:uid="{00000000-0005-0000-0000-00000B000000}"/>
    <cellStyle name="60% - 着色 1 2" xfId="15" xr:uid="{00000000-0005-0000-0000-00000C000000}"/>
    <cellStyle name="60% - 着色 2 2" xfId="16" xr:uid="{00000000-0005-0000-0000-00000D000000}"/>
    <cellStyle name="60% - 着色 3 2" xfId="17" xr:uid="{00000000-0005-0000-0000-00000E000000}"/>
    <cellStyle name="60% - 着色 4 2" xfId="18" xr:uid="{00000000-0005-0000-0000-00000F000000}"/>
    <cellStyle name="60% - 着色 5 2" xfId="19" xr:uid="{00000000-0005-0000-0000-000010000000}"/>
    <cellStyle name="60% - 着色 6 2" xfId="20" xr:uid="{00000000-0005-0000-0000-000011000000}"/>
    <cellStyle name="blp_datetime" xfId="44" xr:uid="{00000000-0005-0000-0000-000012000000}"/>
    <cellStyle name="Comma" xfId="45" builtinId="3"/>
    <cellStyle name="Normal" xfId="0" builtinId="0"/>
    <cellStyle name="Percent" xfId="1" builtinId="5"/>
    <cellStyle name="标题 1 2" xfId="32" xr:uid="{00000000-0005-0000-0000-000014000000}"/>
    <cellStyle name="标题 2 2" xfId="33" xr:uid="{00000000-0005-0000-0000-000015000000}"/>
    <cellStyle name="标题 3 2" xfId="34" xr:uid="{00000000-0005-0000-0000-000016000000}"/>
    <cellStyle name="标题 4 2" xfId="35" xr:uid="{00000000-0005-0000-0000-000017000000}"/>
    <cellStyle name="标题 5" xfId="41" xr:uid="{00000000-0005-0000-0000-000018000000}"/>
    <cellStyle name="差 2" xfId="27" xr:uid="{00000000-0005-0000-0000-000019000000}"/>
    <cellStyle name="常规 2" xfId="2" xr:uid="{00000000-0005-0000-0000-00001B000000}"/>
    <cellStyle name="好 2" xfId="31" xr:uid="{00000000-0005-0000-0000-00001C000000}"/>
    <cellStyle name="汇总 2" xfId="42" xr:uid="{00000000-0005-0000-0000-00001D000000}"/>
    <cellStyle name="计算 2" xfId="28" xr:uid="{00000000-0005-0000-0000-00001E000000}"/>
    <cellStyle name="检查单元格 2" xfId="29" xr:uid="{00000000-0005-0000-0000-00001F000000}"/>
    <cellStyle name="解释性文本 2" xfId="30" xr:uid="{00000000-0005-0000-0000-000020000000}"/>
    <cellStyle name="警告文本 2" xfId="43" xr:uid="{00000000-0005-0000-0000-000021000000}"/>
    <cellStyle name="链接单元格 2" xfId="37" xr:uid="{00000000-0005-0000-0000-000022000000}"/>
    <cellStyle name="适中 2" xfId="38" xr:uid="{00000000-0005-0000-0000-000023000000}"/>
    <cellStyle name="输出 2" xfId="40" xr:uid="{00000000-0005-0000-0000-000024000000}"/>
    <cellStyle name="输入 2" xfId="36" xr:uid="{00000000-0005-0000-0000-000025000000}"/>
    <cellStyle name="着色 1 2" xfId="21" xr:uid="{00000000-0005-0000-0000-000026000000}"/>
    <cellStyle name="着色 2 2" xfId="22" xr:uid="{00000000-0005-0000-0000-000027000000}"/>
    <cellStyle name="着色 3 2" xfId="23" xr:uid="{00000000-0005-0000-0000-000028000000}"/>
    <cellStyle name="着色 4 2" xfId="24" xr:uid="{00000000-0005-0000-0000-000029000000}"/>
    <cellStyle name="着色 5 2" xfId="25" xr:uid="{00000000-0005-0000-0000-00002A000000}"/>
    <cellStyle name="着色 6 2" xfId="26" xr:uid="{00000000-0005-0000-0000-00002B000000}"/>
    <cellStyle name="注释 2" xfId="39" xr:uid="{00000000-0005-0000-0000-00002C000000}"/>
  </cellStyles>
  <dxfs count="0"/>
  <tableStyles count="0" defaultTableStyle="TableStyleMedium9" defaultPivotStyle="PivotStyleMedium4"/>
  <colors>
    <mruColors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/>
              <a:t>Fund Performance (Net)</a:t>
            </a:r>
            <a:endParaRPr lang="zh-CN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'2026 Jun (monthly)'!$E$1</c:f>
              <c:strCache>
                <c:ptCount val="1"/>
                <c:pt idx="0">
                  <c:v>NAV/SHARE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99E-4CA6-B6B9-73BCC993666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99E-4CA6-B6B9-73BCC993666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99E-4CA6-B6B9-73BCC993666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99E-4CA6-B6B9-73BCC993666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99E-4CA6-B6B9-73BCC9936662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99E-4CA6-B6B9-73BCC9936662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99E-4CA6-B6B9-73BCC9936662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99E-4CA6-B6B9-73BCC9936662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99E-4CA6-B6B9-73BCC9936662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99E-4CA6-B6B9-73BCC9936662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99E-4CA6-B6B9-73BCC9936662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99E-4CA6-B6B9-73BCC9936662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99E-4CA6-B6B9-73BCC9936662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99E-4CA6-B6B9-73BCC9936662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99E-4CA6-B6B9-73BCC9936662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99E-4CA6-B6B9-73BCC9936662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99E-4CA6-B6B9-73BCC9936662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99E-4CA6-B6B9-73BCC9936662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99E-4CA6-B6B9-73BCC9936662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599E-4CA6-B6B9-73BCC9936662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99E-4CA6-B6B9-73BCC9936662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99E-4CA6-B6B9-73BCC9936662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599E-4CA6-B6B9-73BCC9936662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599E-4CA6-B6B9-73BCC9936662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599E-4CA6-B6B9-73BCC9936662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599E-4CA6-B6B9-73BCC9936662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599E-4CA6-B6B9-73BCC9936662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599E-4CA6-B6B9-73BCC9936662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599E-4CA6-B6B9-73BCC9936662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599E-4CA6-B6B9-73BCC9936662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599E-4CA6-B6B9-73BCC9936662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599E-4CA6-B6B9-73BCC9936662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599E-4CA6-B6B9-73BCC9936662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599E-4CA6-B6B9-73BCC9936662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599E-4CA6-B6B9-73BCC9936662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599E-4CA6-B6B9-73BCC993666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TW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'2026 Jun (monthly)'!$D$2:$D$47</c15:sqref>
                  </c15:fullRef>
                </c:ext>
              </c:extLst>
              <c:f>('2026 Jun (monthly)'!$D$2,'2026 Jun (monthly)'!$D$5,'2026 Jun (monthly)'!$D$8,'2026 Jun (monthly)'!$D$11,'2026 Jun (monthly)'!$D$14:$D$47)</c:f>
              <c:strCache>
                <c:ptCount val="38"/>
                <c:pt idx="0">
                  <c:v>Inception </c:v>
                </c:pt>
                <c:pt idx="1">
                  <c:v>Sep-22</c:v>
                </c:pt>
                <c:pt idx="2">
                  <c:v>Dec-22</c:v>
                </c:pt>
                <c:pt idx="3">
                  <c:v>Mar-23</c:v>
                </c:pt>
                <c:pt idx="4">
                  <c:v>Jun-23</c:v>
                </c:pt>
                <c:pt idx="5">
                  <c:v>Jul-23</c:v>
                </c:pt>
                <c:pt idx="6">
                  <c:v>Aug-23</c:v>
                </c:pt>
                <c:pt idx="7">
                  <c:v>Sep-23</c:v>
                </c:pt>
                <c:pt idx="8">
                  <c:v>Oct-23</c:v>
                </c:pt>
                <c:pt idx="9">
                  <c:v>Nov-23</c:v>
                </c:pt>
                <c:pt idx="10">
                  <c:v>Dec-23</c:v>
                </c:pt>
                <c:pt idx="11">
                  <c:v>Jan-24</c:v>
                </c:pt>
                <c:pt idx="12">
                  <c:v>Feb-24</c:v>
                </c:pt>
                <c:pt idx="13">
                  <c:v>Mar-24</c:v>
                </c:pt>
                <c:pt idx="14">
                  <c:v>Apr-24</c:v>
                </c:pt>
                <c:pt idx="15">
                  <c:v>May-24</c:v>
                </c:pt>
                <c:pt idx="16">
                  <c:v>Jun-24</c:v>
                </c:pt>
                <c:pt idx="17">
                  <c:v>Jul-24</c:v>
                </c:pt>
                <c:pt idx="18">
                  <c:v>Aug-24</c:v>
                </c:pt>
                <c:pt idx="19">
                  <c:v>Sep-24</c:v>
                </c:pt>
                <c:pt idx="20">
                  <c:v>Oct-24</c:v>
                </c:pt>
                <c:pt idx="21">
                  <c:v>Nov-24</c:v>
                </c:pt>
                <c:pt idx="22">
                  <c:v>Dec-24</c:v>
                </c:pt>
                <c:pt idx="23">
                  <c:v>Jan-25</c:v>
                </c:pt>
                <c:pt idx="24">
                  <c:v>Feb-25</c:v>
                </c:pt>
                <c:pt idx="25">
                  <c:v>Mar-25</c:v>
                </c:pt>
                <c:pt idx="26">
                  <c:v>Apr-25</c:v>
                </c:pt>
                <c:pt idx="27">
                  <c:v>May-25</c:v>
                </c:pt>
                <c:pt idx="28">
                  <c:v>Jun-25</c:v>
                </c:pt>
                <c:pt idx="29">
                  <c:v>Jul-25</c:v>
                </c:pt>
                <c:pt idx="30">
                  <c:v>Aug-25</c:v>
                </c:pt>
                <c:pt idx="31">
                  <c:v>Sep-25</c:v>
                </c:pt>
                <c:pt idx="32">
                  <c:v>Oct-25</c:v>
                </c:pt>
                <c:pt idx="33">
                  <c:v>Nov-25</c:v>
                </c:pt>
                <c:pt idx="34">
                  <c:v>Dec-25</c:v>
                </c:pt>
                <c:pt idx="35">
                  <c:v>Jan-26</c:v>
                </c:pt>
                <c:pt idx="36">
                  <c:v>Feb-26</c:v>
                </c:pt>
                <c:pt idx="37">
                  <c:v>Mar-26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'2026 Jun (monthly)'!$E$2:$E$47</c15:sqref>
                  </c15:fullRef>
                </c:ext>
              </c:extLst>
              <c:f>('2026 Jun (monthly)'!$E$2,'2026 Jun (monthly)'!$E$5,'2026 Jun (monthly)'!$E$8,'2026 Jun (monthly)'!$E$11,'2026 Jun (monthly)'!$E$14:$E$47)</c:f>
              <c:numCache>
                <c:formatCode>0.00</c:formatCode>
                <c:ptCount val="38"/>
                <c:pt idx="0" formatCode="General">
                  <c:v>100</c:v>
                </c:pt>
                <c:pt idx="1">
                  <c:v>99.816999999999993</c:v>
                </c:pt>
                <c:pt idx="2">
                  <c:v>95.546999999999997</c:v>
                </c:pt>
                <c:pt idx="3">
                  <c:v>83.915000000000006</c:v>
                </c:pt>
                <c:pt idx="4">
                  <c:v>79.801625000000001</c:v>
                </c:pt>
                <c:pt idx="5">
                  <c:v>87.030625000000001</c:v>
                </c:pt>
                <c:pt idx="6">
                  <c:v>80.664625000000001</c:v>
                </c:pt>
                <c:pt idx="7">
                  <c:v>76.164249999999996</c:v>
                </c:pt>
                <c:pt idx="8">
                  <c:v>73.219125000000005</c:v>
                </c:pt>
                <c:pt idx="9">
                  <c:v>68.246750000000006</c:v>
                </c:pt>
                <c:pt idx="10">
                  <c:v>78.848124999999996</c:v>
                </c:pt>
                <c:pt idx="11">
                  <c:v>75.847125000000005</c:v>
                </c:pt>
                <c:pt idx="12">
                  <c:v>101.495375</c:v>
                </c:pt>
                <c:pt idx="13">
                  <c:v>76.287999999999997</c:v>
                </c:pt>
                <c:pt idx="14">
                  <c:v>71.493250000000003</c:v>
                </c:pt>
                <c:pt idx="15">
                  <c:v>77.440250000000006</c:v>
                </c:pt>
                <c:pt idx="16">
                  <c:v>67.887749999999997</c:v>
                </c:pt>
                <c:pt idx="17">
                  <c:v>68.255375000000001</c:v>
                </c:pt>
                <c:pt idx="18">
                  <c:v>58.920874999999995</c:v>
                </c:pt>
                <c:pt idx="19">
                  <c:v>55.435375885047897</c:v>
                </c:pt>
                <c:pt idx="20">
                  <c:v>52.483750658739126</c:v>
                </c:pt>
                <c:pt idx="21">
                  <c:v>70.362500679220233</c:v>
                </c:pt>
                <c:pt idx="22">
                  <c:v>76.539124574860452</c:v>
                </c:pt>
                <c:pt idx="23">
                  <c:v>61.347125946229539</c:v>
                </c:pt>
                <c:pt idx="24">
                  <c:v>55.144374702073996</c:v>
                </c:pt>
                <c:pt idx="25">
                  <c:v>50.899625574726663</c:v>
                </c:pt>
                <c:pt idx="26">
                  <c:v>44.796249626774006</c:v>
                </c:pt>
                <c:pt idx="27">
                  <c:v>67.208374377853303</c:v>
                </c:pt>
                <c:pt idx="28">
                  <c:v>58.026750412650777</c:v>
                </c:pt>
                <c:pt idx="29">
                  <c:v>51.364002457019616</c:v>
                </c:pt>
                <c:pt idx="30">
                  <c:v>47.199001311954369</c:v>
                </c:pt>
                <c:pt idx="31">
                  <c:v>69.887004299784323</c:v>
                </c:pt>
                <c:pt idx="32">
                  <c:v>82.030004017837285</c:v>
                </c:pt>
                <c:pt idx="33">
                  <c:v>88.265003755005296</c:v>
                </c:pt>
                <c:pt idx="34">
                  <c:v>92.259006039254231</c:v>
                </c:pt>
                <c:pt idx="35">
                  <c:v>90.617004531370554</c:v>
                </c:pt>
                <c:pt idx="36">
                  <c:v>90.709003080096849</c:v>
                </c:pt>
                <c:pt idx="37">
                  <c:v>77.279005164372919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599E-4CA6-B6B9-73BCC9936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7382880"/>
        <c:axId val="1617385600"/>
      </c:lineChart>
      <c:catAx>
        <c:axId val="161738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617385600"/>
        <c:crosses val="autoZero"/>
        <c:auto val="1"/>
        <c:lblAlgn val="ctr"/>
        <c:lblOffset val="100"/>
        <c:noMultiLvlLbl val="0"/>
      </c:catAx>
      <c:valAx>
        <c:axId val="1617385600"/>
        <c:scaling>
          <c:orientation val="minMax"/>
          <c:max val="105"/>
          <c:min val="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617382880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/>
              <a:t>Fund Performance (Net)</a:t>
            </a:r>
            <a:endParaRPr lang="zh-CN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'2026 Mar (monthly)'!$E$1</c:f>
              <c:strCache>
                <c:ptCount val="1"/>
                <c:pt idx="0">
                  <c:v>NAV/SHARE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720-4C96-B5FC-9809BBD5342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720-4C96-B5FC-9809BBD5342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720-4C96-B5FC-9809BBD5342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720-4C96-B5FC-9809BBD5342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720-4C96-B5FC-9809BBD5342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720-4C96-B5FC-9809BBD5342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720-4C96-B5FC-9809BBD5342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720-4C96-B5FC-9809BBD5342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720-4C96-B5FC-9809BBD5342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720-4C96-B5FC-9809BBD5342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720-4C96-B5FC-9809BBD5342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720-4C96-B5FC-9809BBD53429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720-4C96-B5FC-9809BBD5342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720-4C96-B5FC-9809BBD53429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720-4C96-B5FC-9809BBD5342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720-4C96-B5FC-9809BBD53429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720-4C96-B5FC-9809BBD5342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720-4C96-B5FC-9809BBD53429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720-4C96-B5FC-9809BBD5342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720-4C96-B5FC-9809BBD53429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720-4C96-B5FC-9809BBD53429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720-4C96-B5FC-9809BBD53429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720-4C96-B5FC-9809BBD53429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720-4C96-B5FC-9809BBD53429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720-4C96-B5FC-9809BBD53429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2720-4C96-B5FC-9809BBD53429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2720-4C96-B5FC-9809BBD53429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2720-4C96-B5FC-9809BBD53429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2720-4C96-B5FC-9809BBD53429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2720-4C96-B5FC-9809BBD53429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2720-4C96-B5FC-9809BBD53429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2720-4C96-B5FC-9809BBD53429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2720-4C96-B5FC-9809BBD53429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2720-4C96-B5FC-9809BBD53429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2720-4C96-B5FC-9809BBD53429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2720-4C96-B5FC-9809BBD534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TW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'2026 Mar (monthly)'!$D$2:$D$47</c15:sqref>
                  </c15:fullRef>
                </c:ext>
              </c:extLst>
              <c:f>('2026 Mar (monthly)'!$D$2,'2026 Mar (monthly)'!$D$5,'2026 Mar (monthly)'!$D$8,'2026 Mar (monthly)'!$D$11,'2026 Mar (monthly)'!$D$14:$D$47)</c:f>
              <c:strCache>
                <c:ptCount val="38"/>
                <c:pt idx="0">
                  <c:v>Inception </c:v>
                </c:pt>
                <c:pt idx="1">
                  <c:v>Sep-22</c:v>
                </c:pt>
                <c:pt idx="2">
                  <c:v>Dec-22</c:v>
                </c:pt>
                <c:pt idx="3">
                  <c:v>Mar-23</c:v>
                </c:pt>
                <c:pt idx="4">
                  <c:v>Jun-23</c:v>
                </c:pt>
                <c:pt idx="5">
                  <c:v>Jul-23</c:v>
                </c:pt>
                <c:pt idx="6">
                  <c:v>Aug-23</c:v>
                </c:pt>
                <c:pt idx="7">
                  <c:v>Sep-23</c:v>
                </c:pt>
                <c:pt idx="8">
                  <c:v>Oct-23</c:v>
                </c:pt>
                <c:pt idx="9">
                  <c:v>Nov-23</c:v>
                </c:pt>
                <c:pt idx="10">
                  <c:v>Dec-23</c:v>
                </c:pt>
                <c:pt idx="11">
                  <c:v>Jan-24</c:v>
                </c:pt>
                <c:pt idx="12">
                  <c:v>Feb-24</c:v>
                </c:pt>
                <c:pt idx="13">
                  <c:v>Mar-24</c:v>
                </c:pt>
                <c:pt idx="14">
                  <c:v>Apr-24</c:v>
                </c:pt>
                <c:pt idx="15">
                  <c:v>May-24</c:v>
                </c:pt>
                <c:pt idx="16">
                  <c:v>Jun-24</c:v>
                </c:pt>
                <c:pt idx="17">
                  <c:v>Jul-24</c:v>
                </c:pt>
                <c:pt idx="18">
                  <c:v>Aug-24</c:v>
                </c:pt>
                <c:pt idx="19">
                  <c:v>Sep-24</c:v>
                </c:pt>
                <c:pt idx="20">
                  <c:v>Oct-24</c:v>
                </c:pt>
                <c:pt idx="21">
                  <c:v>Nov-24</c:v>
                </c:pt>
                <c:pt idx="22">
                  <c:v>Dec-24</c:v>
                </c:pt>
                <c:pt idx="23">
                  <c:v>Jan-25</c:v>
                </c:pt>
                <c:pt idx="24">
                  <c:v>Feb-25</c:v>
                </c:pt>
                <c:pt idx="25">
                  <c:v>Mar-25</c:v>
                </c:pt>
                <c:pt idx="26">
                  <c:v>Apr-25</c:v>
                </c:pt>
                <c:pt idx="27">
                  <c:v>May-25</c:v>
                </c:pt>
                <c:pt idx="28">
                  <c:v>Jun-25</c:v>
                </c:pt>
                <c:pt idx="29">
                  <c:v>Jul-25</c:v>
                </c:pt>
                <c:pt idx="30">
                  <c:v>Aug-25</c:v>
                </c:pt>
                <c:pt idx="31">
                  <c:v>Sep-25</c:v>
                </c:pt>
                <c:pt idx="32">
                  <c:v>Oct-25</c:v>
                </c:pt>
                <c:pt idx="33">
                  <c:v>Nov-25</c:v>
                </c:pt>
                <c:pt idx="34">
                  <c:v>Dec-25</c:v>
                </c:pt>
                <c:pt idx="35">
                  <c:v>Jan-26</c:v>
                </c:pt>
                <c:pt idx="36">
                  <c:v>Feb-26</c:v>
                </c:pt>
                <c:pt idx="37">
                  <c:v>Mar-26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'2026 Mar (monthly)'!$E$2:$E$47</c15:sqref>
                  </c15:fullRef>
                </c:ext>
              </c:extLst>
              <c:f>('2026 Mar (monthly)'!$E$2,'2026 Mar (monthly)'!$E$5,'2026 Mar (monthly)'!$E$8,'2026 Mar (monthly)'!$E$11,'2026 Mar (monthly)'!$E$14:$E$47)</c:f>
              <c:numCache>
                <c:formatCode>0.00</c:formatCode>
                <c:ptCount val="38"/>
                <c:pt idx="0" formatCode="General">
                  <c:v>100</c:v>
                </c:pt>
                <c:pt idx="1">
                  <c:v>99.816999999999993</c:v>
                </c:pt>
                <c:pt idx="2">
                  <c:v>95.546999999999997</c:v>
                </c:pt>
                <c:pt idx="3">
                  <c:v>83.915000000000006</c:v>
                </c:pt>
                <c:pt idx="4">
                  <c:v>79.801625000000001</c:v>
                </c:pt>
                <c:pt idx="5">
                  <c:v>87.030625000000001</c:v>
                </c:pt>
                <c:pt idx="6">
                  <c:v>80.664625000000001</c:v>
                </c:pt>
                <c:pt idx="7">
                  <c:v>76.164249999999996</c:v>
                </c:pt>
                <c:pt idx="8">
                  <c:v>73.219125000000005</c:v>
                </c:pt>
                <c:pt idx="9">
                  <c:v>68.246750000000006</c:v>
                </c:pt>
                <c:pt idx="10">
                  <c:v>78.848124999999996</c:v>
                </c:pt>
                <c:pt idx="11">
                  <c:v>75.847125000000005</c:v>
                </c:pt>
                <c:pt idx="12">
                  <c:v>101.495375</c:v>
                </c:pt>
                <c:pt idx="13">
                  <c:v>76.287999999999997</c:v>
                </c:pt>
                <c:pt idx="14">
                  <c:v>71.493250000000003</c:v>
                </c:pt>
                <c:pt idx="15">
                  <c:v>77.440250000000006</c:v>
                </c:pt>
                <c:pt idx="16">
                  <c:v>67.887749999999997</c:v>
                </c:pt>
                <c:pt idx="17">
                  <c:v>68.255375000000001</c:v>
                </c:pt>
                <c:pt idx="18">
                  <c:v>58.920874999999995</c:v>
                </c:pt>
                <c:pt idx="19">
                  <c:v>55.435375885047897</c:v>
                </c:pt>
                <c:pt idx="20">
                  <c:v>52.483750658739126</c:v>
                </c:pt>
                <c:pt idx="21">
                  <c:v>70.362500679220233</c:v>
                </c:pt>
                <c:pt idx="22">
                  <c:v>76.539124574860452</c:v>
                </c:pt>
                <c:pt idx="23">
                  <c:v>61.347125946229539</c:v>
                </c:pt>
                <c:pt idx="24">
                  <c:v>55.144374702073996</c:v>
                </c:pt>
                <c:pt idx="25">
                  <c:v>50.899625574726663</c:v>
                </c:pt>
                <c:pt idx="26">
                  <c:v>44.796249626774006</c:v>
                </c:pt>
                <c:pt idx="27">
                  <c:v>67.208374377853303</c:v>
                </c:pt>
                <c:pt idx="28">
                  <c:v>58.026750412650777</c:v>
                </c:pt>
                <c:pt idx="29">
                  <c:v>51.364002457019616</c:v>
                </c:pt>
                <c:pt idx="30">
                  <c:v>47.199001311954369</c:v>
                </c:pt>
                <c:pt idx="31">
                  <c:v>69.887004299784323</c:v>
                </c:pt>
                <c:pt idx="32">
                  <c:v>82.030004017837285</c:v>
                </c:pt>
                <c:pt idx="33">
                  <c:v>88.265003755005296</c:v>
                </c:pt>
                <c:pt idx="34">
                  <c:v>92.259006039254231</c:v>
                </c:pt>
                <c:pt idx="35">
                  <c:v>90.617004531370554</c:v>
                </c:pt>
                <c:pt idx="36">
                  <c:v>90.709003080096849</c:v>
                </c:pt>
                <c:pt idx="37">
                  <c:v>77.279005164372919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2720-4C96-B5FC-9809BBD534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7382880"/>
        <c:axId val="1617385600"/>
      </c:lineChart>
      <c:catAx>
        <c:axId val="161738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617385600"/>
        <c:crosses val="autoZero"/>
        <c:auto val="1"/>
        <c:lblAlgn val="ctr"/>
        <c:lblOffset val="100"/>
        <c:noMultiLvlLbl val="0"/>
      </c:catAx>
      <c:valAx>
        <c:axId val="1617385600"/>
        <c:scaling>
          <c:orientation val="minMax"/>
          <c:max val="105"/>
          <c:min val="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617382880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/>
              <a:t>Fund Performance (Net)</a:t>
            </a:r>
            <a:endParaRPr lang="zh-CN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'2025 Dec (monthly) '!$E$1</c:f>
              <c:strCache>
                <c:ptCount val="1"/>
                <c:pt idx="0">
                  <c:v>NAV/SHARE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2ED-46E2-8DC5-8C114600A7F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2ED-46E2-8DC5-8C114600A7F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2ED-46E2-8DC5-8C114600A7F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2ED-46E2-8DC5-8C114600A7F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2ED-46E2-8DC5-8C114600A7F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2ED-46E2-8DC5-8C114600A7F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2ED-46E2-8DC5-8C114600A7F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2ED-46E2-8DC5-8C114600A7F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2ED-46E2-8DC5-8C114600A7F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2ED-46E2-8DC5-8C114600A7FA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2ED-46E2-8DC5-8C114600A7FA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2ED-46E2-8DC5-8C114600A7FA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2ED-46E2-8DC5-8C114600A7FA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2ED-46E2-8DC5-8C114600A7FA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2ED-46E2-8DC5-8C114600A7FA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2ED-46E2-8DC5-8C114600A7FA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F2ED-46E2-8DC5-8C114600A7FA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2ED-46E2-8DC5-8C114600A7FA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F2ED-46E2-8DC5-8C114600A7FA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F2ED-46E2-8DC5-8C114600A7FA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F2ED-46E2-8DC5-8C114600A7FA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2ED-46E2-8DC5-8C114600A7FA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F2ED-46E2-8DC5-8C114600A7FA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F2ED-46E2-8DC5-8C114600A7FA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F2ED-46E2-8DC5-8C114600A7FA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F2ED-46E2-8DC5-8C114600A7FA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F2ED-46E2-8DC5-8C114600A7FA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F2ED-46E2-8DC5-8C114600A7FA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F2ED-46E2-8DC5-8C114600A7FA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F2ED-46E2-8DC5-8C114600A7FA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F2ED-46E2-8DC5-8C114600A7FA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F2ED-46E2-8DC5-8C114600A7FA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F2ED-46E2-8DC5-8C114600A7F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TW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'2025 Dec (monthly) '!$D$2:$D$44</c15:sqref>
                  </c15:fullRef>
                </c:ext>
              </c:extLst>
              <c:f>('2025 Dec (monthly) '!$D$2,'2025 Dec (monthly) '!$D$5,'2025 Dec (monthly) '!$D$8,'2025 Dec (monthly) '!$D$11,'2025 Dec (monthly) '!$D$14:$D$44)</c:f>
              <c:strCache>
                <c:ptCount val="35"/>
                <c:pt idx="0">
                  <c:v>Inception </c:v>
                </c:pt>
                <c:pt idx="1">
                  <c:v>Sep-22</c:v>
                </c:pt>
                <c:pt idx="2">
                  <c:v>Dec-22</c:v>
                </c:pt>
                <c:pt idx="3">
                  <c:v>Mar-23</c:v>
                </c:pt>
                <c:pt idx="4">
                  <c:v>Jun-23</c:v>
                </c:pt>
                <c:pt idx="5">
                  <c:v>Jul-23</c:v>
                </c:pt>
                <c:pt idx="6">
                  <c:v>Aug-23</c:v>
                </c:pt>
                <c:pt idx="7">
                  <c:v>Sep-23</c:v>
                </c:pt>
                <c:pt idx="8">
                  <c:v>Oct-23</c:v>
                </c:pt>
                <c:pt idx="9">
                  <c:v>Nov-23</c:v>
                </c:pt>
                <c:pt idx="10">
                  <c:v>Dec-23</c:v>
                </c:pt>
                <c:pt idx="11">
                  <c:v>Jan-24</c:v>
                </c:pt>
                <c:pt idx="12">
                  <c:v>Feb-24</c:v>
                </c:pt>
                <c:pt idx="13">
                  <c:v>Mar-24</c:v>
                </c:pt>
                <c:pt idx="14">
                  <c:v>Apr-24</c:v>
                </c:pt>
                <c:pt idx="15">
                  <c:v>May-24</c:v>
                </c:pt>
                <c:pt idx="16">
                  <c:v>Jun-24</c:v>
                </c:pt>
                <c:pt idx="17">
                  <c:v>Jul-24</c:v>
                </c:pt>
                <c:pt idx="18">
                  <c:v>Aug-24</c:v>
                </c:pt>
                <c:pt idx="19">
                  <c:v>Sep-24</c:v>
                </c:pt>
                <c:pt idx="20">
                  <c:v>Oct-24</c:v>
                </c:pt>
                <c:pt idx="21">
                  <c:v>Nov-24</c:v>
                </c:pt>
                <c:pt idx="22">
                  <c:v>Dec-24</c:v>
                </c:pt>
                <c:pt idx="23">
                  <c:v>Jan-25</c:v>
                </c:pt>
                <c:pt idx="24">
                  <c:v>Feb-25</c:v>
                </c:pt>
                <c:pt idx="25">
                  <c:v>Mar-25</c:v>
                </c:pt>
                <c:pt idx="26">
                  <c:v>Apr-25</c:v>
                </c:pt>
                <c:pt idx="27">
                  <c:v>May-25</c:v>
                </c:pt>
                <c:pt idx="28">
                  <c:v>Jun-25</c:v>
                </c:pt>
                <c:pt idx="29">
                  <c:v>Jul-25</c:v>
                </c:pt>
                <c:pt idx="30">
                  <c:v>Aug-25</c:v>
                </c:pt>
                <c:pt idx="31">
                  <c:v>Sep-25</c:v>
                </c:pt>
                <c:pt idx="32">
                  <c:v>Oct-25</c:v>
                </c:pt>
                <c:pt idx="33">
                  <c:v>Nov-25</c:v>
                </c:pt>
                <c:pt idx="34">
                  <c:v>Dec-25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'2025 Dec (monthly) '!$E$2:$E$44</c15:sqref>
                  </c15:fullRef>
                </c:ext>
              </c:extLst>
              <c:f>('2025 Dec (monthly) '!$E$2,'2025 Dec (monthly) '!$E$5,'2025 Dec (monthly) '!$E$8,'2025 Dec (monthly) '!$E$11,'2025 Dec (monthly) '!$E$14:$E$44)</c:f>
              <c:numCache>
                <c:formatCode>0.00</c:formatCode>
                <c:ptCount val="35"/>
                <c:pt idx="0" formatCode="General">
                  <c:v>100</c:v>
                </c:pt>
                <c:pt idx="1">
                  <c:v>99.816999999999993</c:v>
                </c:pt>
                <c:pt idx="2">
                  <c:v>95.546999999999997</c:v>
                </c:pt>
                <c:pt idx="3">
                  <c:v>83.915000000000006</c:v>
                </c:pt>
                <c:pt idx="4">
                  <c:v>79.801625000000001</c:v>
                </c:pt>
                <c:pt idx="5">
                  <c:v>87.030625000000001</c:v>
                </c:pt>
                <c:pt idx="6">
                  <c:v>80.664625000000001</c:v>
                </c:pt>
                <c:pt idx="7">
                  <c:v>76.164249999999996</c:v>
                </c:pt>
                <c:pt idx="8">
                  <c:v>73.219125000000005</c:v>
                </c:pt>
                <c:pt idx="9">
                  <c:v>68.246750000000006</c:v>
                </c:pt>
                <c:pt idx="10">
                  <c:v>78.848124999999996</c:v>
                </c:pt>
                <c:pt idx="11">
                  <c:v>75.847125000000005</c:v>
                </c:pt>
                <c:pt idx="12">
                  <c:v>101.495375</c:v>
                </c:pt>
                <c:pt idx="13">
                  <c:v>76.287999999999997</c:v>
                </c:pt>
                <c:pt idx="14">
                  <c:v>71.493250000000003</c:v>
                </c:pt>
                <c:pt idx="15">
                  <c:v>77.440250000000006</c:v>
                </c:pt>
                <c:pt idx="16">
                  <c:v>67.887749999999997</c:v>
                </c:pt>
                <c:pt idx="17">
                  <c:v>68.255375000000001</c:v>
                </c:pt>
                <c:pt idx="18">
                  <c:v>58.920874999999995</c:v>
                </c:pt>
                <c:pt idx="19">
                  <c:v>55.435375885047897</c:v>
                </c:pt>
                <c:pt idx="20">
                  <c:v>52.483750658739126</c:v>
                </c:pt>
                <c:pt idx="21">
                  <c:v>70.362500679220233</c:v>
                </c:pt>
                <c:pt idx="22">
                  <c:v>76.539124574860452</c:v>
                </c:pt>
                <c:pt idx="23">
                  <c:v>61.347125946229539</c:v>
                </c:pt>
                <c:pt idx="24">
                  <c:v>55.144374702073996</c:v>
                </c:pt>
                <c:pt idx="25">
                  <c:v>50.899625574726663</c:v>
                </c:pt>
                <c:pt idx="26">
                  <c:v>44.796249626774006</c:v>
                </c:pt>
                <c:pt idx="27">
                  <c:v>67.208374377853303</c:v>
                </c:pt>
                <c:pt idx="28">
                  <c:v>58.026750412650777</c:v>
                </c:pt>
                <c:pt idx="29">
                  <c:v>51.364002457019616</c:v>
                </c:pt>
                <c:pt idx="30">
                  <c:v>47.199001311954369</c:v>
                </c:pt>
                <c:pt idx="31">
                  <c:v>69.887004299784323</c:v>
                </c:pt>
                <c:pt idx="32">
                  <c:v>82.030004017837285</c:v>
                </c:pt>
                <c:pt idx="33">
                  <c:v>88.265003755005296</c:v>
                </c:pt>
                <c:pt idx="34">
                  <c:v>92.259006039254231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F2ED-46E2-8DC5-8C114600A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7382880"/>
        <c:axId val="1617385600"/>
      </c:lineChart>
      <c:catAx>
        <c:axId val="161738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617385600"/>
        <c:crosses val="autoZero"/>
        <c:auto val="1"/>
        <c:lblAlgn val="ctr"/>
        <c:lblOffset val="100"/>
        <c:noMultiLvlLbl val="0"/>
      </c:catAx>
      <c:valAx>
        <c:axId val="1617385600"/>
        <c:scaling>
          <c:orientation val="minMax"/>
          <c:max val="105"/>
          <c:min val="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617382880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/>
              <a:t>Fund Performance (Net)</a:t>
            </a:r>
            <a:endParaRPr lang="zh-CN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'2025 Sep (monthly)'!$E$1</c:f>
              <c:strCache>
                <c:ptCount val="1"/>
                <c:pt idx="0">
                  <c:v>NAV/SHARE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227-4543-97BB-50534918B1B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227-4543-97BB-50534918B1B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227-4543-97BB-50534918B1B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227-4543-97BB-50534918B1B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227-4543-97BB-50534918B1B2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227-4543-97BB-50534918B1B2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227-4543-97BB-50534918B1B2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227-4543-97BB-50534918B1B2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227-4543-97BB-50534918B1B2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227-4543-97BB-50534918B1B2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227-4543-97BB-50534918B1B2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227-4543-97BB-50534918B1B2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227-4543-97BB-50534918B1B2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227-4543-97BB-50534918B1B2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227-4543-97BB-50534918B1B2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227-4543-97BB-50534918B1B2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227-4543-97BB-50534918B1B2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227-4543-97BB-50534918B1B2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227-4543-97BB-50534918B1B2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227-4543-97BB-50534918B1B2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227-4543-97BB-50534918B1B2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227-4543-97BB-50534918B1B2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E227-4543-97BB-50534918B1B2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227-4543-97BB-50534918B1B2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E227-4543-97BB-50534918B1B2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E227-4543-97BB-50534918B1B2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E227-4543-97BB-50534918B1B2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8F6-434C-A27E-994785034D0E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8F6-434C-A27E-994785034D0E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8F6-434C-A27E-994785034D0E}"/>
                </c:ext>
              </c:extLst>
            </c:dLbl>
            <c:dLbl>
              <c:idx val="31"/>
              <c:layout>
                <c:manualLayout>
                  <c:x val="-5.0693586268949618E-2"/>
                  <c:y val="1.31687964806999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8F6-434C-A27E-994785034D0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TW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'2025 Sep (monthly)'!$D$2:$D$41</c15:sqref>
                  </c15:fullRef>
                </c:ext>
              </c:extLst>
              <c:f>('2025 Sep (monthly)'!$D$2,'2025 Sep (monthly)'!$D$5,'2025 Sep (monthly)'!$D$8,'2025 Sep (monthly)'!$D$11,'2025 Sep (monthly)'!$D$14:$D$41)</c:f>
              <c:strCache>
                <c:ptCount val="32"/>
                <c:pt idx="0">
                  <c:v>Inception </c:v>
                </c:pt>
                <c:pt idx="1">
                  <c:v>Sep-22</c:v>
                </c:pt>
                <c:pt idx="2">
                  <c:v>Dec-22</c:v>
                </c:pt>
                <c:pt idx="3">
                  <c:v>Mar-23</c:v>
                </c:pt>
                <c:pt idx="4">
                  <c:v>Jun-23</c:v>
                </c:pt>
                <c:pt idx="5">
                  <c:v>Jul-23</c:v>
                </c:pt>
                <c:pt idx="6">
                  <c:v>Aug-23</c:v>
                </c:pt>
                <c:pt idx="7">
                  <c:v>Sep-23</c:v>
                </c:pt>
                <c:pt idx="8">
                  <c:v>Oct-23</c:v>
                </c:pt>
                <c:pt idx="9">
                  <c:v>Nov-23</c:v>
                </c:pt>
                <c:pt idx="10">
                  <c:v>Dec-23</c:v>
                </c:pt>
                <c:pt idx="11">
                  <c:v>Jan-24</c:v>
                </c:pt>
                <c:pt idx="12">
                  <c:v>Feb-24</c:v>
                </c:pt>
                <c:pt idx="13">
                  <c:v>Mar-24</c:v>
                </c:pt>
                <c:pt idx="14">
                  <c:v>Apr-24</c:v>
                </c:pt>
                <c:pt idx="15">
                  <c:v>May-24</c:v>
                </c:pt>
                <c:pt idx="16">
                  <c:v>Jun-24</c:v>
                </c:pt>
                <c:pt idx="17">
                  <c:v>Jul-24</c:v>
                </c:pt>
                <c:pt idx="18">
                  <c:v>Aug-24</c:v>
                </c:pt>
                <c:pt idx="19">
                  <c:v>Sep-24</c:v>
                </c:pt>
                <c:pt idx="20">
                  <c:v>Oct-24</c:v>
                </c:pt>
                <c:pt idx="21">
                  <c:v>Nov-24</c:v>
                </c:pt>
                <c:pt idx="22">
                  <c:v>Dec-24</c:v>
                </c:pt>
                <c:pt idx="23">
                  <c:v>Jan-25</c:v>
                </c:pt>
                <c:pt idx="24">
                  <c:v>Feb-25</c:v>
                </c:pt>
                <c:pt idx="25">
                  <c:v>Mar-25</c:v>
                </c:pt>
                <c:pt idx="26">
                  <c:v>Apr-25</c:v>
                </c:pt>
                <c:pt idx="27">
                  <c:v>May-25</c:v>
                </c:pt>
                <c:pt idx="28">
                  <c:v>Jun-25</c:v>
                </c:pt>
                <c:pt idx="29">
                  <c:v>Jul-25</c:v>
                </c:pt>
                <c:pt idx="30">
                  <c:v>Aug-25</c:v>
                </c:pt>
                <c:pt idx="31">
                  <c:v>Sep-25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'2025 Sep (monthly)'!$E$2:$E$41</c15:sqref>
                  </c15:fullRef>
                </c:ext>
              </c:extLst>
              <c:f>('2025 Sep (monthly)'!$E$2,'2025 Sep (monthly)'!$E$5,'2025 Sep (monthly)'!$E$8,'2025 Sep (monthly)'!$E$11,'2025 Sep (monthly)'!$E$14:$E$41)</c:f>
              <c:numCache>
                <c:formatCode>0.00</c:formatCode>
                <c:ptCount val="32"/>
                <c:pt idx="0" formatCode="General">
                  <c:v>100</c:v>
                </c:pt>
                <c:pt idx="1">
                  <c:v>99.816999999999993</c:v>
                </c:pt>
                <c:pt idx="2">
                  <c:v>95.546999999999997</c:v>
                </c:pt>
                <c:pt idx="3">
                  <c:v>83.915000000000006</c:v>
                </c:pt>
                <c:pt idx="4">
                  <c:v>79.801625000000001</c:v>
                </c:pt>
                <c:pt idx="5">
                  <c:v>87.030625000000001</c:v>
                </c:pt>
                <c:pt idx="6">
                  <c:v>80.664625000000001</c:v>
                </c:pt>
                <c:pt idx="7">
                  <c:v>76.164249999999996</c:v>
                </c:pt>
                <c:pt idx="8">
                  <c:v>73.219125000000005</c:v>
                </c:pt>
                <c:pt idx="9">
                  <c:v>68.246750000000006</c:v>
                </c:pt>
                <c:pt idx="10">
                  <c:v>78.848124999999996</c:v>
                </c:pt>
                <c:pt idx="11">
                  <c:v>75.847125000000005</c:v>
                </c:pt>
                <c:pt idx="12">
                  <c:v>101.495375</c:v>
                </c:pt>
                <c:pt idx="13">
                  <c:v>76.287999999999997</c:v>
                </c:pt>
                <c:pt idx="14">
                  <c:v>71.493250000000003</c:v>
                </c:pt>
                <c:pt idx="15">
                  <c:v>77.440250000000006</c:v>
                </c:pt>
                <c:pt idx="16">
                  <c:v>67.887749999999997</c:v>
                </c:pt>
                <c:pt idx="17">
                  <c:v>68.255375000000001</c:v>
                </c:pt>
                <c:pt idx="18">
                  <c:v>58.920874999999995</c:v>
                </c:pt>
                <c:pt idx="19">
                  <c:v>55.435375885047897</c:v>
                </c:pt>
                <c:pt idx="20">
                  <c:v>52.483750658739126</c:v>
                </c:pt>
                <c:pt idx="21">
                  <c:v>70.362500679220233</c:v>
                </c:pt>
                <c:pt idx="22">
                  <c:v>76.539124574860452</c:v>
                </c:pt>
                <c:pt idx="23">
                  <c:v>61.347125946229539</c:v>
                </c:pt>
                <c:pt idx="24">
                  <c:v>55.144374702073996</c:v>
                </c:pt>
                <c:pt idx="25">
                  <c:v>50.899625574726663</c:v>
                </c:pt>
                <c:pt idx="26">
                  <c:v>44.796249626774006</c:v>
                </c:pt>
                <c:pt idx="27">
                  <c:v>67.208374377853303</c:v>
                </c:pt>
                <c:pt idx="28">
                  <c:v>58.026750412650777</c:v>
                </c:pt>
                <c:pt idx="29">
                  <c:v>51.364002457019616</c:v>
                </c:pt>
                <c:pt idx="30">
                  <c:v>47.199001311954369</c:v>
                </c:pt>
                <c:pt idx="31">
                  <c:v>69.887004299784323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E227-4543-97BB-50534918B1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7382880"/>
        <c:axId val="1617385600"/>
      </c:lineChart>
      <c:catAx>
        <c:axId val="161738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617385600"/>
        <c:crosses val="autoZero"/>
        <c:auto val="1"/>
        <c:lblAlgn val="ctr"/>
        <c:lblOffset val="100"/>
        <c:noMultiLvlLbl val="0"/>
      </c:catAx>
      <c:valAx>
        <c:axId val="1617385600"/>
        <c:scaling>
          <c:orientation val="minMax"/>
          <c:max val="105"/>
          <c:min val="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617382880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/>
              <a:t>Fund Performance (Net)</a:t>
            </a:r>
            <a:endParaRPr lang="zh-CN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'2025 Jun (monthly)'!$E$1</c:f>
              <c:strCache>
                <c:ptCount val="1"/>
                <c:pt idx="0">
                  <c:v>NAV/SHARE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4EF-4DB9-938F-340849F4E5F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4EF-4DB9-938F-340849F4E5F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4EF-4DB9-938F-340849F4E5F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4EF-4DB9-938F-340849F4E5F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4EF-4DB9-938F-340849F4E5F5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4EF-4DB9-938F-340849F4E5F5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4EF-4DB9-938F-340849F4E5F5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4EF-4DB9-938F-340849F4E5F5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4EF-4DB9-938F-340849F4E5F5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4EF-4DB9-938F-340849F4E5F5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4EF-4DB9-938F-340849F4E5F5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4EF-4DB9-938F-340849F4E5F5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4EF-4DB9-938F-340849F4E5F5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4EF-4DB9-938F-340849F4E5F5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4EF-4DB9-938F-340849F4E5F5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4EF-4DB9-938F-340849F4E5F5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4EF-4DB9-938F-340849F4E5F5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4EF-4DB9-938F-340849F4E5F5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4EF-4DB9-938F-340849F4E5F5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4EF-4DB9-938F-340849F4E5F5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4EF-4DB9-938F-340849F4E5F5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4EF-4DB9-938F-340849F4E5F5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B4EF-4DB9-938F-340849F4E5F5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B4EF-4DB9-938F-340849F4E5F5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B4EF-4DB9-938F-340849F4E5F5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B4EF-4DB9-938F-340849F4E5F5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B4EF-4DB9-938F-340849F4E5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TW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'2025 Jun (monthly)'!$D$2:$D$38</c15:sqref>
                  </c15:fullRef>
                </c:ext>
              </c:extLst>
              <c:f>('2025 Jun (monthly)'!$D$2,'2025 Jun (monthly)'!$D$5,'2025 Jun (monthly)'!$D$8,'2025 Jun (monthly)'!$D$11,'2025 Jun (monthly)'!$D$14:$D$38)</c:f>
              <c:strCache>
                <c:ptCount val="29"/>
                <c:pt idx="0">
                  <c:v>Inception </c:v>
                </c:pt>
                <c:pt idx="1">
                  <c:v>Sep-22</c:v>
                </c:pt>
                <c:pt idx="2">
                  <c:v>Dec-22</c:v>
                </c:pt>
                <c:pt idx="3">
                  <c:v>Mar-23</c:v>
                </c:pt>
                <c:pt idx="4">
                  <c:v>Jun-23</c:v>
                </c:pt>
                <c:pt idx="5">
                  <c:v>Jul-23</c:v>
                </c:pt>
                <c:pt idx="6">
                  <c:v>Aug-23</c:v>
                </c:pt>
                <c:pt idx="7">
                  <c:v>Sep-23</c:v>
                </c:pt>
                <c:pt idx="8">
                  <c:v>Oct-23</c:v>
                </c:pt>
                <c:pt idx="9">
                  <c:v>Nov-23</c:v>
                </c:pt>
                <c:pt idx="10">
                  <c:v>Dec-23</c:v>
                </c:pt>
                <c:pt idx="11">
                  <c:v>Jan-24</c:v>
                </c:pt>
                <c:pt idx="12">
                  <c:v>Feb-24</c:v>
                </c:pt>
                <c:pt idx="13">
                  <c:v>Mar-24</c:v>
                </c:pt>
                <c:pt idx="14">
                  <c:v>Apr-24</c:v>
                </c:pt>
                <c:pt idx="15">
                  <c:v>May-24</c:v>
                </c:pt>
                <c:pt idx="16">
                  <c:v>Jun-24</c:v>
                </c:pt>
                <c:pt idx="17">
                  <c:v>Jul-24</c:v>
                </c:pt>
                <c:pt idx="18">
                  <c:v>Aug-24</c:v>
                </c:pt>
                <c:pt idx="19">
                  <c:v>Sep-24</c:v>
                </c:pt>
                <c:pt idx="20">
                  <c:v>Oct-24</c:v>
                </c:pt>
                <c:pt idx="21">
                  <c:v>Nov-24</c:v>
                </c:pt>
                <c:pt idx="22">
                  <c:v>Dec-24</c:v>
                </c:pt>
                <c:pt idx="23">
                  <c:v>Jan-25</c:v>
                </c:pt>
                <c:pt idx="24">
                  <c:v>Feb-25</c:v>
                </c:pt>
                <c:pt idx="25">
                  <c:v>Mar-25</c:v>
                </c:pt>
                <c:pt idx="26">
                  <c:v>Apr-25</c:v>
                </c:pt>
                <c:pt idx="27">
                  <c:v>May-25</c:v>
                </c:pt>
                <c:pt idx="28">
                  <c:v>Jun-25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'2025 Jun (monthly)'!$E$2:$E$38</c15:sqref>
                  </c15:fullRef>
                </c:ext>
              </c:extLst>
              <c:f>('2025 Jun (monthly)'!$E$2,'2025 Jun (monthly)'!$E$5,'2025 Jun (monthly)'!$E$8,'2025 Jun (monthly)'!$E$11,'2025 Jun (monthly)'!$E$14:$E$38)</c:f>
              <c:numCache>
                <c:formatCode>0.00</c:formatCode>
                <c:ptCount val="29"/>
                <c:pt idx="0" formatCode="General">
                  <c:v>100</c:v>
                </c:pt>
                <c:pt idx="1">
                  <c:v>99.816999999999993</c:v>
                </c:pt>
                <c:pt idx="2">
                  <c:v>95.546999999999997</c:v>
                </c:pt>
                <c:pt idx="3">
                  <c:v>83.915000000000006</c:v>
                </c:pt>
                <c:pt idx="4">
                  <c:v>79.801625000000001</c:v>
                </c:pt>
                <c:pt idx="5">
                  <c:v>87.030625000000001</c:v>
                </c:pt>
                <c:pt idx="6">
                  <c:v>80.664625000000001</c:v>
                </c:pt>
                <c:pt idx="7">
                  <c:v>76.164249999999996</c:v>
                </c:pt>
                <c:pt idx="8">
                  <c:v>73.219125000000005</c:v>
                </c:pt>
                <c:pt idx="9">
                  <c:v>68.246750000000006</c:v>
                </c:pt>
                <c:pt idx="10">
                  <c:v>78.848124999999996</c:v>
                </c:pt>
                <c:pt idx="11">
                  <c:v>75.847125000000005</c:v>
                </c:pt>
                <c:pt idx="12">
                  <c:v>101.495375</c:v>
                </c:pt>
                <c:pt idx="13">
                  <c:v>76.287999999999997</c:v>
                </c:pt>
                <c:pt idx="14">
                  <c:v>71.493250000000003</c:v>
                </c:pt>
                <c:pt idx="15">
                  <c:v>77.440250000000006</c:v>
                </c:pt>
                <c:pt idx="16">
                  <c:v>67.887749999999997</c:v>
                </c:pt>
                <c:pt idx="17">
                  <c:v>68.255375000000001</c:v>
                </c:pt>
                <c:pt idx="18">
                  <c:v>58.920874999999995</c:v>
                </c:pt>
                <c:pt idx="19">
                  <c:v>55.435375885047897</c:v>
                </c:pt>
                <c:pt idx="20">
                  <c:v>52.483750658739126</c:v>
                </c:pt>
                <c:pt idx="21">
                  <c:v>70.362500679220233</c:v>
                </c:pt>
                <c:pt idx="22">
                  <c:v>76.539124574860452</c:v>
                </c:pt>
                <c:pt idx="23">
                  <c:v>61.347125946229539</c:v>
                </c:pt>
                <c:pt idx="24">
                  <c:v>55.144374702073996</c:v>
                </c:pt>
                <c:pt idx="25">
                  <c:v>50.899625574726663</c:v>
                </c:pt>
                <c:pt idx="26">
                  <c:v>44.796249626774006</c:v>
                </c:pt>
                <c:pt idx="27">
                  <c:v>67.208374377853303</c:v>
                </c:pt>
                <c:pt idx="28">
                  <c:v>58.026750412650777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4EF-4DB9-938F-340849F4E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7382880"/>
        <c:axId val="1617385600"/>
      </c:lineChart>
      <c:catAx>
        <c:axId val="161738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617385600"/>
        <c:crosses val="autoZero"/>
        <c:auto val="1"/>
        <c:lblAlgn val="ctr"/>
        <c:lblOffset val="100"/>
        <c:noMultiLvlLbl val="0"/>
      </c:catAx>
      <c:valAx>
        <c:axId val="1617385600"/>
        <c:scaling>
          <c:orientation val="minMax"/>
          <c:max val="105"/>
          <c:min val="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617382880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/>
              <a:t>Fund Performance (Net)</a:t>
            </a:r>
            <a:endParaRPr lang="zh-CN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'2025 Mar (monthly)'!$E$1</c:f>
              <c:strCache>
                <c:ptCount val="1"/>
                <c:pt idx="0">
                  <c:v>NAV/SHARE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CD1-40A5-BE5C-A7B88F99DFD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CD1-40A5-BE5C-A7B88F99DFD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CD1-40A5-BE5C-A7B88F99DFD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CD1-40A5-BE5C-A7B88F99DFD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CD1-40A5-BE5C-A7B88F99DFD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CD1-40A5-BE5C-A7B88F99DFD0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CD1-40A5-BE5C-A7B88F99DFD0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CD1-40A5-BE5C-A7B88F99DFD0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CD1-40A5-BE5C-A7B88F99DFD0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CD1-40A5-BE5C-A7B88F99DFD0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CD1-40A5-BE5C-A7B88F99DFD0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CD1-40A5-BE5C-A7B88F99DFD0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CD1-40A5-BE5C-A7B88F99DFD0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CD1-40A5-BE5C-A7B88F99DFD0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CD1-40A5-BE5C-A7B88F99DFD0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DCD1-40A5-BE5C-A7B88F99DFD0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CD1-40A5-BE5C-A7B88F99DFD0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CD1-40A5-BE5C-A7B88F99DFD0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DCD1-40A5-BE5C-A7B88F99DFD0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DCD1-40A5-BE5C-A7B88F99DFD0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DCD1-40A5-BE5C-A7B88F99DFD0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CD1-40A5-BE5C-A7B88F99DFD0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2D6-48A3-BA8A-603351DF0557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2D6-48A3-BA8A-603351DF0557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2D6-48A3-BA8A-603351DF0557}"/>
                </c:ext>
              </c:extLst>
            </c:dLbl>
            <c:dLbl>
              <c:idx val="25"/>
              <c:layout>
                <c:manualLayout>
                  <c:x val="-1.7461568017138665E-3"/>
                  <c:y val="-3.962471157075145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2D6-48A3-BA8A-603351DF05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TW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'2025 Mar (monthly)'!$D$2:$D$35</c15:sqref>
                  </c15:fullRef>
                </c:ext>
              </c:extLst>
              <c:f>('2025 Mar (monthly)'!$D$2,'2025 Mar (monthly)'!$D$5,'2025 Mar (monthly)'!$D$8,'2025 Mar (monthly)'!$D$11,'2025 Mar (monthly)'!$D$14:$D$35)</c:f>
              <c:strCache>
                <c:ptCount val="26"/>
                <c:pt idx="0">
                  <c:v>Inception </c:v>
                </c:pt>
                <c:pt idx="1">
                  <c:v>Sep-22</c:v>
                </c:pt>
                <c:pt idx="2">
                  <c:v>Dec-22</c:v>
                </c:pt>
                <c:pt idx="3">
                  <c:v>Mar-23</c:v>
                </c:pt>
                <c:pt idx="4">
                  <c:v>Jun-23</c:v>
                </c:pt>
                <c:pt idx="5">
                  <c:v>Jul-23</c:v>
                </c:pt>
                <c:pt idx="6">
                  <c:v>Aug-23</c:v>
                </c:pt>
                <c:pt idx="7">
                  <c:v>Sep-23</c:v>
                </c:pt>
                <c:pt idx="8">
                  <c:v>Oct-23</c:v>
                </c:pt>
                <c:pt idx="9">
                  <c:v>Nov-23</c:v>
                </c:pt>
                <c:pt idx="10">
                  <c:v>Dec-23</c:v>
                </c:pt>
                <c:pt idx="11">
                  <c:v>Jan-24</c:v>
                </c:pt>
                <c:pt idx="12">
                  <c:v>Feb-24</c:v>
                </c:pt>
                <c:pt idx="13">
                  <c:v>Mar-24</c:v>
                </c:pt>
                <c:pt idx="14">
                  <c:v>Apr-24</c:v>
                </c:pt>
                <c:pt idx="15">
                  <c:v>May-24</c:v>
                </c:pt>
                <c:pt idx="16">
                  <c:v>Jun-24</c:v>
                </c:pt>
                <c:pt idx="17">
                  <c:v>Jul-24</c:v>
                </c:pt>
                <c:pt idx="18">
                  <c:v>Aug-24</c:v>
                </c:pt>
                <c:pt idx="19">
                  <c:v>Sep-24</c:v>
                </c:pt>
                <c:pt idx="20">
                  <c:v>Oct-24</c:v>
                </c:pt>
                <c:pt idx="21">
                  <c:v>Nov-24</c:v>
                </c:pt>
                <c:pt idx="22">
                  <c:v>Dec-24</c:v>
                </c:pt>
                <c:pt idx="23">
                  <c:v>Jan-25</c:v>
                </c:pt>
                <c:pt idx="24">
                  <c:v>Feb-25</c:v>
                </c:pt>
                <c:pt idx="25">
                  <c:v>Mar-25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'2025 Mar (monthly)'!$E$2:$E$35</c15:sqref>
                  </c15:fullRef>
                </c:ext>
              </c:extLst>
              <c:f>('2025 Mar (monthly)'!$E$2,'2025 Mar (monthly)'!$E$5,'2025 Mar (monthly)'!$E$8,'2025 Mar (monthly)'!$E$11,'2025 Mar (monthly)'!$E$14:$E$35)</c:f>
              <c:numCache>
                <c:formatCode>0.00</c:formatCode>
                <c:ptCount val="26"/>
                <c:pt idx="0" formatCode="General">
                  <c:v>100</c:v>
                </c:pt>
                <c:pt idx="1">
                  <c:v>99.816999999999993</c:v>
                </c:pt>
                <c:pt idx="2">
                  <c:v>95.546999999999997</c:v>
                </c:pt>
                <c:pt idx="3">
                  <c:v>83.915000000000006</c:v>
                </c:pt>
                <c:pt idx="4">
                  <c:v>79.801625000000001</c:v>
                </c:pt>
                <c:pt idx="5">
                  <c:v>87.030625000000001</c:v>
                </c:pt>
                <c:pt idx="6">
                  <c:v>80.664625000000001</c:v>
                </c:pt>
                <c:pt idx="7">
                  <c:v>76.164249999999996</c:v>
                </c:pt>
                <c:pt idx="8">
                  <c:v>73.219125000000005</c:v>
                </c:pt>
                <c:pt idx="9">
                  <c:v>68.246750000000006</c:v>
                </c:pt>
                <c:pt idx="10">
                  <c:v>78.848124999999996</c:v>
                </c:pt>
                <c:pt idx="11">
                  <c:v>75.847125000000005</c:v>
                </c:pt>
                <c:pt idx="12">
                  <c:v>101.495375</c:v>
                </c:pt>
                <c:pt idx="13">
                  <c:v>76.287999999999997</c:v>
                </c:pt>
                <c:pt idx="14">
                  <c:v>71.493250000000003</c:v>
                </c:pt>
                <c:pt idx="15">
                  <c:v>77.440250000000006</c:v>
                </c:pt>
                <c:pt idx="16">
                  <c:v>67.887749999999997</c:v>
                </c:pt>
                <c:pt idx="17">
                  <c:v>68.255375000000001</c:v>
                </c:pt>
                <c:pt idx="18">
                  <c:v>58.920874999999995</c:v>
                </c:pt>
                <c:pt idx="19">
                  <c:v>55.435375885047897</c:v>
                </c:pt>
                <c:pt idx="20">
                  <c:v>52.483750658739126</c:v>
                </c:pt>
                <c:pt idx="21">
                  <c:v>70.362500679220233</c:v>
                </c:pt>
                <c:pt idx="22">
                  <c:v>76.539124574860452</c:v>
                </c:pt>
                <c:pt idx="23">
                  <c:v>61.347125946229539</c:v>
                </c:pt>
                <c:pt idx="24">
                  <c:v>55.144374702073996</c:v>
                </c:pt>
                <c:pt idx="25">
                  <c:v>50.899625574726663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CD1-40A5-BE5C-A7B88F99D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7382880"/>
        <c:axId val="1617385600"/>
      </c:lineChart>
      <c:catAx>
        <c:axId val="161738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617385600"/>
        <c:crosses val="autoZero"/>
        <c:auto val="1"/>
        <c:lblAlgn val="ctr"/>
        <c:lblOffset val="100"/>
        <c:noMultiLvlLbl val="0"/>
      </c:catAx>
      <c:valAx>
        <c:axId val="1617385600"/>
        <c:scaling>
          <c:orientation val="minMax"/>
          <c:max val="105"/>
          <c:min val="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617382880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/>
              <a:t>Fund Performance (Net)</a:t>
            </a:r>
            <a:endParaRPr lang="zh-CN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'2024 Aug (monthly) '!$D$1</c:f>
              <c:strCache>
                <c:ptCount val="1"/>
                <c:pt idx="0">
                  <c:v>NAV/SHARE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944-4907-A36A-AF2A349206B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944-4907-A36A-AF2A349206B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944-4907-A36A-AF2A349206B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944-4907-A36A-AF2A349206B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944-4907-A36A-AF2A349206B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944-4907-A36A-AF2A349206B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944-4907-A36A-AF2A349206B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944-4907-A36A-AF2A349206B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944-4907-A36A-AF2A349206B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944-4907-A36A-AF2A349206B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944-4907-A36A-AF2A349206B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944-4907-A36A-AF2A349206BC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944-4907-A36A-AF2A349206BC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944-4907-A36A-AF2A349206BC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944-4907-A36A-AF2A349206BC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944-4907-A36A-AF2A349206BC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C944-4907-A36A-AF2A349206BC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30B-4870-AC31-F3F629661F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TW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'2024 Aug (monthly) '!$C$2:$C$28</c15:sqref>
                  </c15:fullRef>
                </c:ext>
              </c:extLst>
              <c:f>('2024 Aug (monthly) '!$C$2,'2024 Aug (monthly) '!$C$5,'2024 Aug (monthly) '!$C$8,'2024 Aug (monthly) '!$C$11,'2024 Aug (monthly) '!$C$14:$C$28)</c:f>
              <c:strCache>
                <c:ptCount val="19"/>
                <c:pt idx="0">
                  <c:v>Inception </c:v>
                </c:pt>
                <c:pt idx="1">
                  <c:v>Sep-22</c:v>
                </c:pt>
                <c:pt idx="2">
                  <c:v>Dec-22</c:v>
                </c:pt>
                <c:pt idx="3">
                  <c:v>Mar-23</c:v>
                </c:pt>
                <c:pt idx="4">
                  <c:v>Jun-23</c:v>
                </c:pt>
                <c:pt idx="5">
                  <c:v>Jul-23</c:v>
                </c:pt>
                <c:pt idx="6">
                  <c:v>Aug-23</c:v>
                </c:pt>
                <c:pt idx="7">
                  <c:v>Sep-23</c:v>
                </c:pt>
                <c:pt idx="8">
                  <c:v>Oct-23</c:v>
                </c:pt>
                <c:pt idx="9">
                  <c:v>Nov-23</c:v>
                </c:pt>
                <c:pt idx="10">
                  <c:v>Dec-23</c:v>
                </c:pt>
                <c:pt idx="11">
                  <c:v>Jan-24</c:v>
                </c:pt>
                <c:pt idx="12">
                  <c:v>Feb-24</c:v>
                </c:pt>
                <c:pt idx="13">
                  <c:v>Mar-24</c:v>
                </c:pt>
                <c:pt idx="14">
                  <c:v>Apr-24</c:v>
                </c:pt>
                <c:pt idx="15">
                  <c:v>May-24</c:v>
                </c:pt>
                <c:pt idx="16">
                  <c:v>Jun-24</c:v>
                </c:pt>
                <c:pt idx="17">
                  <c:v>Jul-24</c:v>
                </c:pt>
                <c:pt idx="18">
                  <c:v>Aug-24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'2024 Aug (monthly) '!$D$2:$D$28</c15:sqref>
                  </c15:fullRef>
                </c:ext>
              </c:extLst>
              <c:f>('2024 Aug (monthly) '!$D$2,'2024 Aug (monthly) '!$D$5,'2024 Aug (monthly) '!$D$8,'2024 Aug (monthly) '!$D$11,'2024 Aug (monthly) '!$D$14:$D$28)</c:f>
              <c:numCache>
                <c:formatCode>0.00</c:formatCode>
                <c:ptCount val="19"/>
                <c:pt idx="0" formatCode="General">
                  <c:v>100</c:v>
                </c:pt>
                <c:pt idx="1">
                  <c:v>99.816999999999993</c:v>
                </c:pt>
                <c:pt idx="2">
                  <c:v>95.546999999999997</c:v>
                </c:pt>
                <c:pt idx="3">
                  <c:v>83.915000000000006</c:v>
                </c:pt>
                <c:pt idx="4">
                  <c:v>79.801625000000001</c:v>
                </c:pt>
                <c:pt idx="5">
                  <c:v>87.030625000000001</c:v>
                </c:pt>
                <c:pt idx="6">
                  <c:v>80.664625000000001</c:v>
                </c:pt>
                <c:pt idx="7">
                  <c:v>76.164249999999996</c:v>
                </c:pt>
                <c:pt idx="8">
                  <c:v>73.219125000000005</c:v>
                </c:pt>
                <c:pt idx="9">
                  <c:v>68.246750000000006</c:v>
                </c:pt>
                <c:pt idx="10">
                  <c:v>78.848124999999996</c:v>
                </c:pt>
                <c:pt idx="11">
                  <c:v>75.847125000000005</c:v>
                </c:pt>
                <c:pt idx="12">
                  <c:v>101.495375</c:v>
                </c:pt>
                <c:pt idx="13">
                  <c:v>76.287999999999997</c:v>
                </c:pt>
                <c:pt idx="14">
                  <c:v>71.493250000000003</c:v>
                </c:pt>
                <c:pt idx="15">
                  <c:v>77.440250000000006</c:v>
                </c:pt>
                <c:pt idx="16">
                  <c:v>67.887749999999997</c:v>
                </c:pt>
                <c:pt idx="17">
                  <c:v>68.255375000000001</c:v>
                </c:pt>
                <c:pt idx="18">
                  <c:v>59.107564999999994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944-4907-A36A-AF2A34920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7382880"/>
        <c:axId val="1617385600"/>
      </c:lineChart>
      <c:catAx>
        <c:axId val="161738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617385600"/>
        <c:crosses val="autoZero"/>
        <c:auto val="1"/>
        <c:lblAlgn val="ctr"/>
        <c:lblOffset val="100"/>
        <c:noMultiLvlLbl val="0"/>
      </c:catAx>
      <c:valAx>
        <c:axId val="1617385600"/>
        <c:scaling>
          <c:orientation val="minMax"/>
          <c:min val="5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617382880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/>
              <a:t>Fund Performance (Net)</a:t>
            </a:r>
            <a:endParaRPr lang="zh-CN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'2024 Jul (monthly) '!$D$1</c:f>
              <c:strCache>
                <c:ptCount val="1"/>
                <c:pt idx="0">
                  <c:v>NAV/SHARE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D9A-4B41-B9BB-D8438666628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D9A-4B41-B9BB-D8438666628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D9A-4B41-B9BB-D8438666628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D9A-4B41-B9BB-D8438666628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D9A-4B41-B9BB-D8438666628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D9A-4B41-B9BB-D8438666628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D9A-4B41-B9BB-D8438666628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D9A-4B41-B9BB-D8438666628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D9A-4B41-B9BB-D84386666288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D9A-4B41-B9BB-D8438666628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D9A-4B41-B9BB-D84386666288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D9A-4B41-B9BB-D8438666628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D9A-4B41-B9BB-D84386666288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D9A-4B41-B9BB-D8438666628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D9A-4B41-B9BB-D84386666288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D9A-4B41-B9BB-D8438666628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D9A-4B41-B9BB-D843866662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TW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'2024 Jul (monthly) '!$C$2:$C$27</c15:sqref>
                  </c15:fullRef>
                </c:ext>
              </c:extLst>
              <c:f>('2024 Jul (monthly) '!$C$2,'2024 Jul (monthly) '!$C$5,'2024 Jul (monthly) '!$C$8,'2024 Jul (monthly) '!$C$11,'2024 Jul (monthly) '!$C$14:$C$27)</c:f>
              <c:strCache>
                <c:ptCount val="18"/>
                <c:pt idx="0">
                  <c:v>Inception </c:v>
                </c:pt>
                <c:pt idx="1">
                  <c:v>Sep-22</c:v>
                </c:pt>
                <c:pt idx="2">
                  <c:v>Dec-22</c:v>
                </c:pt>
                <c:pt idx="3">
                  <c:v>Mar-23</c:v>
                </c:pt>
                <c:pt idx="4">
                  <c:v>Jun-23</c:v>
                </c:pt>
                <c:pt idx="5">
                  <c:v>Jul-23</c:v>
                </c:pt>
                <c:pt idx="6">
                  <c:v>Aug-23</c:v>
                </c:pt>
                <c:pt idx="7">
                  <c:v>Sep-23</c:v>
                </c:pt>
                <c:pt idx="8">
                  <c:v>Oct-23</c:v>
                </c:pt>
                <c:pt idx="9">
                  <c:v>Nov-23</c:v>
                </c:pt>
                <c:pt idx="10">
                  <c:v>Dec-23</c:v>
                </c:pt>
                <c:pt idx="11">
                  <c:v>Jan-24</c:v>
                </c:pt>
                <c:pt idx="12">
                  <c:v>Feb-24</c:v>
                </c:pt>
                <c:pt idx="13">
                  <c:v>Mar-24</c:v>
                </c:pt>
                <c:pt idx="14">
                  <c:v>Apr-24</c:v>
                </c:pt>
                <c:pt idx="15">
                  <c:v>May-24</c:v>
                </c:pt>
                <c:pt idx="16">
                  <c:v>Jun-24</c:v>
                </c:pt>
                <c:pt idx="17">
                  <c:v>Jul-24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'2024 Jul (monthly) '!$D$2:$D$27</c15:sqref>
                  </c15:fullRef>
                </c:ext>
              </c:extLst>
              <c:f>('2024 Jul (monthly) '!$D$2,'2024 Jul (monthly) '!$D$5,'2024 Jul (monthly) '!$D$8,'2024 Jul (monthly) '!$D$11,'2024 Jul (monthly) '!$D$14:$D$27)</c:f>
              <c:numCache>
                <c:formatCode>0.00</c:formatCode>
                <c:ptCount val="18"/>
                <c:pt idx="0" formatCode="General">
                  <c:v>100</c:v>
                </c:pt>
                <c:pt idx="1">
                  <c:v>99.816999999999993</c:v>
                </c:pt>
                <c:pt idx="2">
                  <c:v>95.546999999999997</c:v>
                </c:pt>
                <c:pt idx="3">
                  <c:v>83.915000000000006</c:v>
                </c:pt>
                <c:pt idx="4">
                  <c:v>79.801625000000001</c:v>
                </c:pt>
                <c:pt idx="5">
                  <c:v>87.030625000000001</c:v>
                </c:pt>
                <c:pt idx="6">
                  <c:v>80.664625000000001</c:v>
                </c:pt>
                <c:pt idx="7">
                  <c:v>76.164249999999996</c:v>
                </c:pt>
                <c:pt idx="8">
                  <c:v>73.219125000000005</c:v>
                </c:pt>
                <c:pt idx="9">
                  <c:v>68.246750000000006</c:v>
                </c:pt>
                <c:pt idx="10">
                  <c:v>78.848124999999996</c:v>
                </c:pt>
                <c:pt idx="11">
                  <c:v>75.847125000000005</c:v>
                </c:pt>
                <c:pt idx="12">
                  <c:v>101.495375</c:v>
                </c:pt>
                <c:pt idx="13">
                  <c:v>76.287999999999997</c:v>
                </c:pt>
                <c:pt idx="14">
                  <c:v>71.493250000000003</c:v>
                </c:pt>
                <c:pt idx="15">
                  <c:v>77.440250000000006</c:v>
                </c:pt>
                <c:pt idx="16">
                  <c:v>67.887749999999997</c:v>
                </c:pt>
                <c:pt idx="17">
                  <c:v>68.255375000000001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D9A-4B41-B9BB-D84386666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7382880"/>
        <c:axId val="1617385600"/>
      </c:lineChart>
      <c:catAx>
        <c:axId val="161738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617385600"/>
        <c:crosses val="autoZero"/>
        <c:auto val="1"/>
        <c:lblAlgn val="ctr"/>
        <c:lblOffset val="100"/>
        <c:noMultiLvlLbl val="0"/>
      </c:catAx>
      <c:valAx>
        <c:axId val="1617385600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617382880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/>
              <a:t>Fund Performance (Net)</a:t>
            </a:r>
            <a:endParaRPr lang="zh-CN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'2024 Dec (monthly)'!$E$1</c:f>
              <c:strCache>
                <c:ptCount val="1"/>
                <c:pt idx="0">
                  <c:v>NAV/SHARE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943-42DB-9174-F69F0377524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943-42DB-9174-F69F0377524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943-42DB-9174-F69F0377524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943-42DB-9174-F69F0377524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943-42DB-9174-F69F0377524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943-42DB-9174-F69F0377524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943-42DB-9174-F69F0377524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943-42DB-9174-F69F0377524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943-42DB-9174-F69F03775248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943-42DB-9174-F69F0377524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943-42DB-9174-F69F03775248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943-42DB-9174-F69F0377524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943-42DB-9174-F69F03775248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943-42DB-9174-F69F0377524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943-42DB-9174-F69F03775248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D943-42DB-9174-F69F0377524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943-42DB-9174-F69F03775248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943-42DB-9174-F69F03775248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943-42DB-9174-F69F03775248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D943-42DB-9174-F69F03775248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D943-42DB-9174-F69F03775248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43-42DB-9174-F69F0377524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TW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'2024 Dec (monthly)'!$D$2:$D$32</c15:sqref>
                  </c15:fullRef>
                </c:ext>
              </c:extLst>
              <c:f>('2024 Dec (monthly)'!$D$2,'2024 Dec (monthly)'!$D$5,'2024 Dec (monthly)'!$D$8,'2024 Dec (monthly)'!$D$11,'2024 Dec (monthly)'!$D$14:$D$32)</c:f>
              <c:strCache>
                <c:ptCount val="23"/>
                <c:pt idx="0">
                  <c:v>Inception </c:v>
                </c:pt>
                <c:pt idx="1">
                  <c:v>Sep-22</c:v>
                </c:pt>
                <c:pt idx="2">
                  <c:v>Dec-22</c:v>
                </c:pt>
                <c:pt idx="3">
                  <c:v>Mar-23</c:v>
                </c:pt>
                <c:pt idx="4">
                  <c:v>Jun-23</c:v>
                </c:pt>
                <c:pt idx="5">
                  <c:v>Jul-23</c:v>
                </c:pt>
                <c:pt idx="6">
                  <c:v>Aug-23</c:v>
                </c:pt>
                <c:pt idx="7">
                  <c:v>Sep-23</c:v>
                </c:pt>
                <c:pt idx="8">
                  <c:v>Oct-23</c:v>
                </c:pt>
                <c:pt idx="9">
                  <c:v>Nov-23</c:v>
                </c:pt>
                <c:pt idx="10">
                  <c:v>Dec-23</c:v>
                </c:pt>
                <c:pt idx="11">
                  <c:v>Jan-24</c:v>
                </c:pt>
                <c:pt idx="12">
                  <c:v>Feb-24</c:v>
                </c:pt>
                <c:pt idx="13">
                  <c:v>Mar-24</c:v>
                </c:pt>
                <c:pt idx="14">
                  <c:v>Apr-24</c:v>
                </c:pt>
                <c:pt idx="15">
                  <c:v>May-24</c:v>
                </c:pt>
                <c:pt idx="16">
                  <c:v>Jun-24</c:v>
                </c:pt>
                <c:pt idx="17">
                  <c:v>Jul-24</c:v>
                </c:pt>
                <c:pt idx="18">
                  <c:v>Aug-24</c:v>
                </c:pt>
                <c:pt idx="19">
                  <c:v>Sep-24</c:v>
                </c:pt>
                <c:pt idx="20">
                  <c:v>Oct-24</c:v>
                </c:pt>
                <c:pt idx="21">
                  <c:v>Nov-24</c:v>
                </c:pt>
                <c:pt idx="22">
                  <c:v>Dec-24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'2024 Dec (monthly)'!$E$2:$E$32</c15:sqref>
                  </c15:fullRef>
                </c:ext>
              </c:extLst>
              <c:f>('2024 Dec (monthly)'!$E$2,'2024 Dec (monthly)'!$E$5,'2024 Dec (monthly)'!$E$8,'2024 Dec (monthly)'!$E$11,'2024 Dec (monthly)'!$E$14:$E$32)</c:f>
              <c:numCache>
                <c:formatCode>0.00</c:formatCode>
                <c:ptCount val="23"/>
                <c:pt idx="0" formatCode="General">
                  <c:v>100</c:v>
                </c:pt>
                <c:pt idx="1">
                  <c:v>99.816999999999993</c:v>
                </c:pt>
                <c:pt idx="2">
                  <c:v>95.546999999999997</c:v>
                </c:pt>
                <c:pt idx="3">
                  <c:v>83.915000000000006</c:v>
                </c:pt>
                <c:pt idx="4">
                  <c:v>79.801625000000001</c:v>
                </c:pt>
                <c:pt idx="5">
                  <c:v>87.030625000000001</c:v>
                </c:pt>
                <c:pt idx="6">
                  <c:v>80.664625000000001</c:v>
                </c:pt>
                <c:pt idx="7">
                  <c:v>76.164249999999996</c:v>
                </c:pt>
                <c:pt idx="8">
                  <c:v>73.219125000000005</c:v>
                </c:pt>
                <c:pt idx="9">
                  <c:v>68.246750000000006</c:v>
                </c:pt>
                <c:pt idx="10">
                  <c:v>78.848124999999996</c:v>
                </c:pt>
                <c:pt idx="11">
                  <c:v>75.847125000000005</c:v>
                </c:pt>
                <c:pt idx="12">
                  <c:v>101.495375</c:v>
                </c:pt>
                <c:pt idx="13">
                  <c:v>76.287999999999997</c:v>
                </c:pt>
                <c:pt idx="14">
                  <c:v>71.493250000000003</c:v>
                </c:pt>
                <c:pt idx="15">
                  <c:v>77.440250000000006</c:v>
                </c:pt>
                <c:pt idx="16">
                  <c:v>67.887749999999997</c:v>
                </c:pt>
                <c:pt idx="17">
                  <c:v>68.255375000000001</c:v>
                </c:pt>
                <c:pt idx="18">
                  <c:v>58.920874999999995</c:v>
                </c:pt>
                <c:pt idx="19">
                  <c:v>55.435375885047897</c:v>
                </c:pt>
                <c:pt idx="20">
                  <c:v>52.483750658739126</c:v>
                </c:pt>
                <c:pt idx="21">
                  <c:v>70.362500679220233</c:v>
                </c:pt>
                <c:pt idx="22">
                  <c:v>76.539124574860452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943-42DB-9174-F69F03775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7382880"/>
        <c:axId val="1617385600"/>
      </c:lineChart>
      <c:catAx>
        <c:axId val="161738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617385600"/>
        <c:crosses val="autoZero"/>
        <c:auto val="1"/>
        <c:lblAlgn val="ctr"/>
        <c:lblOffset val="100"/>
        <c:noMultiLvlLbl val="0"/>
      </c:catAx>
      <c:valAx>
        <c:axId val="1617385600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617382880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/>
              <a:t>Fund Performance (Net)</a:t>
            </a:r>
            <a:endParaRPr lang="zh-CN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'2024 Sep (monthly)'!$E$1</c:f>
              <c:strCache>
                <c:ptCount val="1"/>
                <c:pt idx="0">
                  <c:v>NAV/SHARE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026-41DD-82E0-EF0F14EF18A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026-41DD-82E0-EF0F14EF18A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026-41DD-82E0-EF0F14EF18A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026-41DD-82E0-EF0F14EF18A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026-41DD-82E0-EF0F14EF18A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026-41DD-82E0-EF0F14EF18A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026-41DD-82E0-EF0F14EF18A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026-41DD-82E0-EF0F14EF18A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026-41DD-82E0-EF0F14EF18A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026-41DD-82E0-EF0F14EF18AA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026-41DD-82E0-EF0F14EF18AA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026-41DD-82E0-EF0F14EF18AA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026-41DD-82E0-EF0F14EF18AA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026-41DD-82E0-EF0F14EF18AA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026-41DD-82E0-EF0F14EF18AA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026-41DD-82E0-EF0F14EF18AA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026-41DD-82E0-EF0F14EF18AA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026-41DD-82E0-EF0F14EF18AA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026-41DD-82E0-EF0F14EF18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'2024 Sep (monthly)'!$D$2:$D$29</c15:sqref>
                  </c15:fullRef>
                </c:ext>
              </c:extLst>
              <c:f>('2024 Sep (monthly)'!$D$2,'2024 Sep (monthly)'!$D$5,'2024 Sep (monthly)'!$D$8,'2024 Sep (monthly)'!$D$11,'2024 Sep (monthly)'!$D$14:$D$29)</c:f>
              <c:strCache>
                <c:ptCount val="20"/>
                <c:pt idx="0">
                  <c:v>Inception </c:v>
                </c:pt>
                <c:pt idx="1">
                  <c:v>Sep-22</c:v>
                </c:pt>
                <c:pt idx="2">
                  <c:v>Dec-22</c:v>
                </c:pt>
                <c:pt idx="3">
                  <c:v>Mar-23</c:v>
                </c:pt>
                <c:pt idx="4">
                  <c:v>Jun-23</c:v>
                </c:pt>
                <c:pt idx="5">
                  <c:v>Jul-23</c:v>
                </c:pt>
                <c:pt idx="6">
                  <c:v>Aug-23</c:v>
                </c:pt>
                <c:pt idx="7">
                  <c:v>Sep-23</c:v>
                </c:pt>
                <c:pt idx="8">
                  <c:v>Oct-23</c:v>
                </c:pt>
                <c:pt idx="9">
                  <c:v>Nov-23</c:v>
                </c:pt>
                <c:pt idx="10">
                  <c:v>Dec-23</c:v>
                </c:pt>
                <c:pt idx="11">
                  <c:v>Jan-24</c:v>
                </c:pt>
                <c:pt idx="12">
                  <c:v>Feb-24</c:v>
                </c:pt>
                <c:pt idx="13">
                  <c:v>Mar-24</c:v>
                </c:pt>
                <c:pt idx="14">
                  <c:v>Apr-24</c:v>
                </c:pt>
                <c:pt idx="15">
                  <c:v>May-24</c:v>
                </c:pt>
                <c:pt idx="16">
                  <c:v>Jun-24</c:v>
                </c:pt>
                <c:pt idx="17">
                  <c:v>Jul-24</c:v>
                </c:pt>
                <c:pt idx="18">
                  <c:v>Aug-24</c:v>
                </c:pt>
                <c:pt idx="19">
                  <c:v>Sep-24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'2024 Sep (monthly)'!$E$2:$E$29</c15:sqref>
                  </c15:fullRef>
                </c:ext>
              </c:extLst>
              <c:f>('2024 Sep (monthly)'!$E$2,'2024 Sep (monthly)'!$E$5,'2024 Sep (monthly)'!$E$8,'2024 Sep (monthly)'!$E$11,'2024 Sep (monthly)'!$E$14:$E$29)</c:f>
              <c:numCache>
                <c:formatCode>0.00</c:formatCode>
                <c:ptCount val="20"/>
                <c:pt idx="0" formatCode="General">
                  <c:v>100</c:v>
                </c:pt>
                <c:pt idx="1">
                  <c:v>99.816999999999993</c:v>
                </c:pt>
                <c:pt idx="2">
                  <c:v>95.546999999999997</c:v>
                </c:pt>
                <c:pt idx="3">
                  <c:v>83.915000000000006</c:v>
                </c:pt>
                <c:pt idx="4">
                  <c:v>79.801625000000001</c:v>
                </c:pt>
                <c:pt idx="5">
                  <c:v>87.030625000000001</c:v>
                </c:pt>
                <c:pt idx="6">
                  <c:v>80.664625000000001</c:v>
                </c:pt>
                <c:pt idx="7">
                  <c:v>76.164249999999996</c:v>
                </c:pt>
                <c:pt idx="8">
                  <c:v>73.219125000000005</c:v>
                </c:pt>
                <c:pt idx="9">
                  <c:v>68.246750000000006</c:v>
                </c:pt>
                <c:pt idx="10">
                  <c:v>78.848124999999996</c:v>
                </c:pt>
                <c:pt idx="11">
                  <c:v>75.847125000000005</c:v>
                </c:pt>
                <c:pt idx="12">
                  <c:v>101.495375</c:v>
                </c:pt>
                <c:pt idx="13">
                  <c:v>76.287999999999997</c:v>
                </c:pt>
                <c:pt idx="14">
                  <c:v>71.493250000000003</c:v>
                </c:pt>
                <c:pt idx="15">
                  <c:v>77.440250000000006</c:v>
                </c:pt>
                <c:pt idx="16">
                  <c:v>67.887749999999997</c:v>
                </c:pt>
                <c:pt idx="17">
                  <c:v>68.255375000000001</c:v>
                </c:pt>
                <c:pt idx="18">
                  <c:v>58.920874999999995</c:v>
                </c:pt>
                <c:pt idx="19">
                  <c:v>55.435375885047897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026-41DD-82E0-EF0F14EF18A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17382880"/>
        <c:axId val="1617385600"/>
      </c:lineChart>
      <c:catAx>
        <c:axId val="161738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617385600"/>
        <c:crosses val="autoZero"/>
        <c:auto val="1"/>
        <c:lblAlgn val="ctr"/>
        <c:lblOffset val="100"/>
        <c:noMultiLvlLbl val="0"/>
      </c:catAx>
      <c:valAx>
        <c:axId val="1617385600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617382880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/>
              <a:t>Fund Performance (Net)</a:t>
            </a:r>
            <a:endParaRPr lang="zh-CN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'2024 Jun (monthly) '!$D$1</c:f>
              <c:strCache>
                <c:ptCount val="1"/>
                <c:pt idx="0">
                  <c:v>NAV/SHARE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677-4C6D-A63E-E385A9EF658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677-4C6D-A63E-E385A9EF658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677-4C6D-A63E-E385A9EF658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677-4C6D-A63E-E385A9EF658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677-4C6D-A63E-E385A9EF658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677-4C6D-A63E-E385A9EF658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677-4C6D-A63E-E385A9EF658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677-4C6D-A63E-E385A9EF658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677-4C6D-A63E-E385A9EF658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677-4C6D-A63E-E385A9EF658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677-4C6D-A63E-E385A9EF658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677-4C6D-A63E-E385A9EF6589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677-4C6D-A63E-E385A9EF658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677-4C6D-A63E-E385A9EF6589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677-4C6D-A63E-E385A9EF658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677-4C6D-A63E-E385A9EF65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TW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'2024 Jun (monthly) '!$C$2:$C$26</c15:sqref>
                  </c15:fullRef>
                </c:ext>
              </c:extLst>
              <c:f>('2024 Jun (monthly) '!$C$2,'2024 Jun (monthly) '!$C$5,'2024 Jun (monthly) '!$C$8,'2024 Jun (monthly) '!$C$11,'2024 Jun (monthly) '!$C$14:$C$26)</c:f>
              <c:strCache>
                <c:ptCount val="17"/>
                <c:pt idx="0">
                  <c:v>Inception </c:v>
                </c:pt>
                <c:pt idx="1">
                  <c:v>Sep-22</c:v>
                </c:pt>
                <c:pt idx="2">
                  <c:v>Dec-22</c:v>
                </c:pt>
                <c:pt idx="3">
                  <c:v>Mar-23</c:v>
                </c:pt>
                <c:pt idx="4">
                  <c:v>Jun-23</c:v>
                </c:pt>
                <c:pt idx="5">
                  <c:v>Jul-23</c:v>
                </c:pt>
                <c:pt idx="6">
                  <c:v>Aug-23</c:v>
                </c:pt>
                <c:pt idx="7">
                  <c:v>Sep-23</c:v>
                </c:pt>
                <c:pt idx="8">
                  <c:v>Oct-23</c:v>
                </c:pt>
                <c:pt idx="9">
                  <c:v>Nov-23</c:v>
                </c:pt>
                <c:pt idx="10">
                  <c:v>Dec-23</c:v>
                </c:pt>
                <c:pt idx="11">
                  <c:v>Jan-24</c:v>
                </c:pt>
                <c:pt idx="12">
                  <c:v>Feb-24</c:v>
                </c:pt>
                <c:pt idx="13">
                  <c:v>Mar-24</c:v>
                </c:pt>
                <c:pt idx="14">
                  <c:v>Apr-24</c:v>
                </c:pt>
                <c:pt idx="15">
                  <c:v>May-24</c:v>
                </c:pt>
                <c:pt idx="16">
                  <c:v>Jun-24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'2024 Jun (monthly) '!$D$2:$D$26</c15:sqref>
                  </c15:fullRef>
                </c:ext>
              </c:extLst>
              <c:f>('2024 Jun (monthly) '!$D$2,'2024 Jun (monthly) '!$D$5,'2024 Jun (monthly) '!$D$8,'2024 Jun (monthly) '!$D$11,'2024 Jun (monthly) '!$D$14:$D$26)</c:f>
              <c:numCache>
                <c:formatCode>0.00</c:formatCode>
                <c:ptCount val="17"/>
                <c:pt idx="0" formatCode="General">
                  <c:v>100</c:v>
                </c:pt>
                <c:pt idx="1">
                  <c:v>99.816999999999993</c:v>
                </c:pt>
                <c:pt idx="2">
                  <c:v>95.546999999999997</c:v>
                </c:pt>
                <c:pt idx="3">
                  <c:v>83.915000000000006</c:v>
                </c:pt>
                <c:pt idx="4">
                  <c:v>79.801625000000001</c:v>
                </c:pt>
                <c:pt idx="5">
                  <c:v>87.030625000000001</c:v>
                </c:pt>
                <c:pt idx="6">
                  <c:v>80.664625000000001</c:v>
                </c:pt>
                <c:pt idx="7">
                  <c:v>76.164249999999996</c:v>
                </c:pt>
                <c:pt idx="8">
                  <c:v>73.219125000000005</c:v>
                </c:pt>
                <c:pt idx="9">
                  <c:v>68.246750000000006</c:v>
                </c:pt>
                <c:pt idx="10">
                  <c:v>78.848124999999996</c:v>
                </c:pt>
                <c:pt idx="11">
                  <c:v>75.847125000000005</c:v>
                </c:pt>
                <c:pt idx="12">
                  <c:v>101.495375</c:v>
                </c:pt>
                <c:pt idx="13">
                  <c:v>76.287999999999997</c:v>
                </c:pt>
                <c:pt idx="14">
                  <c:v>71.493250000000003</c:v>
                </c:pt>
                <c:pt idx="15">
                  <c:v>77.440250000000006</c:v>
                </c:pt>
                <c:pt idx="16">
                  <c:v>67.887749999999997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677-4C6D-A63E-E385A9EF6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7382880"/>
        <c:axId val="1617385600"/>
      </c:lineChart>
      <c:catAx>
        <c:axId val="161738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617385600"/>
        <c:crosses val="autoZero"/>
        <c:auto val="1"/>
        <c:lblAlgn val="ctr"/>
        <c:lblOffset val="100"/>
        <c:noMultiLvlLbl val="0"/>
      </c:catAx>
      <c:valAx>
        <c:axId val="1617385600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617382880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/>
              <a:t>Fund Performance (Net)</a:t>
            </a:r>
            <a:endParaRPr lang="zh-CN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'2024 Mar (monthly) '!$D$1</c:f>
              <c:strCache>
                <c:ptCount val="1"/>
                <c:pt idx="0">
                  <c:v>NAV/SHARE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BB1-4CA8-9E83-B3C8128E963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BB1-4CA8-9E83-B3C8128E963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BB1-4CA8-9E83-B3C8128E963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BB1-4CA8-9E83-B3C8128E963B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BB1-4CA8-9E83-B3C8128E963B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BB1-4CA8-9E83-B3C8128E963B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BB1-4CA8-9E83-B3C8128E963B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BB1-4CA8-9E83-B3C8128E963B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BB1-4CA8-9E83-B3C8128E963B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BB1-4CA8-9E83-B3C8128E963B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BB1-4CA8-9E83-B3C8128E963B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BB1-4CA8-9E83-B3C8128E963B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BB1-4CA8-9E83-B3C8128E96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TW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'2024 Mar (monthly) '!$C$2:$C$23</c15:sqref>
                  </c15:fullRef>
                </c:ext>
              </c:extLst>
              <c:f>('2024 Mar (monthly) '!$C$2,'2024 Mar (monthly) '!$C$5,'2024 Mar (monthly) '!$C$8,'2024 Mar (monthly) '!$C$11,'2024 Mar (monthly) '!$C$14:$C$23)</c:f>
              <c:strCache>
                <c:ptCount val="14"/>
                <c:pt idx="0">
                  <c:v>Inception </c:v>
                </c:pt>
                <c:pt idx="1">
                  <c:v>Sep-22</c:v>
                </c:pt>
                <c:pt idx="2">
                  <c:v>Dec-22</c:v>
                </c:pt>
                <c:pt idx="3">
                  <c:v>Mar-23</c:v>
                </c:pt>
                <c:pt idx="4">
                  <c:v>Jun-23</c:v>
                </c:pt>
                <c:pt idx="5">
                  <c:v>Jul-23</c:v>
                </c:pt>
                <c:pt idx="6">
                  <c:v>Aug-23</c:v>
                </c:pt>
                <c:pt idx="7">
                  <c:v>Sep-23</c:v>
                </c:pt>
                <c:pt idx="8">
                  <c:v>Oct-23</c:v>
                </c:pt>
                <c:pt idx="9">
                  <c:v>Nov-23</c:v>
                </c:pt>
                <c:pt idx="10">
                  <c:v>Dec-23</c:v>
                </c:pt>
                <c:pt idx="11">
                  <c:v>Jan-24</c:v>
                </c:pt>
                <c:pt idx="12">
                  <c:v>Feb-24</c:v>
                </c:pt>
                <c:pt idx="13">
                  <c:v>Mar-24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'2024 Mar (monthly) '!$D$2:$D$23</c15:sqref>
                  </c15:fullRef>
                </c:ext>
              </c:extLst>
              <c:f>('2024 Mar (monthly) '!$D$2,'2024 Mar (monthly) '!$D$5,'2024 Mar (monthly) '!$D$8,'2024 Mar (monthly) '!$D$11,'2024 Mar (monthly) '!$D$14:$D$23)</c:f>
              <c:numCache>
                <c:formatCode>0.00</c:formatCode>
                <c:ptCount val="14"/>
                <c:pt idx="0" formatCode="General">
                  <c:v>100</c:v>
                </c:pt>
                <c:pt idx="1">
                  <c:v>99.816999999999993</c:v>
                </c:pt>
                <c:pt idx="2">
                  <c:v>95.546999999999997</c:v>
                </c:pt>
                <c:pt idx="3">
                  <c:v>83.915000000000006</c:v>
                </c:pt>
                <c:pt idx="4">
                  <c:v>79.801625000000001</c:v>
                </c:pt>
                <c:pt idx="5">
                  <c:v>87.030625000000001</c:v>
                </c:pt>
                <c:pt idx="6">
                  <c:v>80.664625000000001</c:v>
                </c:pt>
                <c:pt idx="7">
                  <c:v>76.164249999999996</c:v>
                </c:pt>
                <c:pt idx="8">
                  <c:v>73.219125000000005</c:v>
                </c:pt>
                <c:pt idx="9">
                  <c:v>68.246750000000006</c:v>
                </c:pt>
                <c:pt idx="10">
                  <c:v>78.848124999999996</c:v>
                </c:pt>
                <c:pt idx="11">
                  <c:v>75.847125000000005</c:v>
                </c:pt>
                <c:pt idx="12">
                  <c:v>101.495375</c:v>
                </c:pt>
                <c:pt idx="13">
                  <c:v>76.287999999999997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BB1-4CA8-9E83-B3C8128E9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7382880"/>
        <c:axId val="1617385600"/>
      </c:lineChart>
      <c:catAx>
        <c:axId val="161738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617385600"/>
        <c:crosses val="autoZero"/>
        <c:auto val="1"/>
        <c:lblAlgn val="ctr"/>
        <c:lblOffset val="100"/>
        <c:noMultiLvlLbl val="0"/>
      </c:catAx>
      <c:valAx>
        <c:axId val="1617385600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617382880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/>
              <a:t>Fund Performance (Net)</a:t>
            </a:r>
            <a:endParaRPr lang="zh-CN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'2023 Dec (monthly)'!$D$1</c:f>
              <c:strCache>
                <c:ptCount val="1"/>
                <c:pt idx="0">
                  <c:v>NAV/SHARE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24C-4175-BEFF-F0802A72B39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24C-4175-BEFF-F0802A72B39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24C-4175-BEFF-F0802A72B39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24C-4175-BEFF-F0802A72B39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24C-4175-BEFF-F0802A72B39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24C-4175-BEFF-F0802A72B39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24C-4175-BEFF-F0802A72B39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24C-4175-BEFF-F0802A72B39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24C-4175-BEFF-F0802A72B39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24C-4175-BEFF-F0802A72B3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'2023 Dec (monthly)'!$C$2:$C$20</c15:sqref>
                  </c15:fullRef>
                </c:ext>
              </c:extLst>
              <c:f>('2023 Dec (monthly)'!$C$2,'2023 Dec (monthly)'!$C$5,'2023 Dec (monthly)'!$C$8,'2023 Dec (monthly)'!$C$11,'2023 Dec (monthly)'!$C$14:$C$20)</c:f>
              <c:strCache>
                <c:ptCount val="11"/>
                <c:pt idx="0">
                  <c:v>Inception </c:v>
                </c:pt>
                <c:pt idx="1">
                  <c:v>Sep-22</c:v>
                </c:pt>
                <c:pt idx="2">
                  <c:v>Dec-22</c:v>
                </c:pt>
                <c:pt idx="3">
                  <c:v>Mar-23</c:v>
                </c:pt>
                <c:pt idx="4">
                  <c:v>Jun-23</c:v>
                </c:pt>
                <c:pt idx="5">
                  <c:v>Jul-23</c:v>
                </c:pt>
                <c:pt idx="6">
                  <c:v>Aug-23</c:v>
                </c:pt>
                <c:pt idx="7">
                  <c:v>Sep-23</c:v>
                </c:pt>
                <c:pt idx="8">
                  <c:v>Oct-23</c:v>
                </c:pt>
                <c:pt idx="9">
                  <c:v>Nov-23</c:v>
                </c:pt>
                <c:pt idx="10">
                  <c:v>Dec-23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'2023 Dec (monthly)'!$D$2:$D$20</c15:sqref>
                  </c15:fullRef>
                </c:ext>
              </c:extLst>
              <c:f>('2023 Dec (monthly)'!$D$2,'2023 Dec (monthly)'!$D$5,'2023 Dec (monthly)'!$D$8,'2023 Dec (monthly)'!$D$11,'2023 Dec (monthly)'!$D$14:$D$20)</c:f>
              <c:numCache>
                <c:formatCode>0.00</c:formatCode>
                <c:ptCount val="11"/>
                <c:pt idx="0" formatCode="General">
                  <c:v>100</c:v>
                </c:pt>
                <c:pt idx="1">
                  <c:v>99.816999999999993</c:v>
                </c:pt>
                <c:pt idx="2">
                  <c:v>95.546999999999997</c:v>
                </c:pt>
                <c:pt idx="3">
                  <c:v>83.915000000000006</c:v>
                </c:pt>
                <c:pt idx="4">
                  <c:v>79.801625000000001</c:v>
                </c:pt>
                <c:pt idx="5">
                  <c:v>87.030625000000001</c:v>
                </c:pt>
                <c:pt idx="6">
                  <c:v>80.664625000000001</c:v>
                </c:pt>
                <c:pt idx="7">
                  <c:v>76.164249999999996</c:v>
                </c:pt>
                <c:pt idx="8">
                  <c:v>73.219125000000005</c:v>
                </c:pt>
                <c:pt idx="9">
                  <c:v>68.246750000000006</c:v>
                </c:pt>
                <c:pt idx="10">
                  <c:v>78.848124999999996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24C-4175-BEFF-F0802A72B3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7382880"/>
        <c:axId val="1617385600"/>
      </c:lineChart>
      <c:catAx>
        <c:axId val="161738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617385600"/>
        <c:crosses val="autoZero"/>
        <c:auto val="1"/>
        <c:lblAlgn val="ctr"/>
        <c:lblOffset val="100"/>
        <c:noMultiLvlLbl val="0"/>
      </c:catAx>
      <c:valAx>
        <c:axId val="1617385600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617382880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/>
              <a:t>Fund Performance (Net)</a:t>
            </a:r>
            <a:endParaRPr lang="zh-CN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'2023 Sep (monthly)'!$D$1</c:f>
              <c:strCache>
                <c:ptCount val="1"/>
                <c:pt idx="0">
                  <c:v>NAV/SHARE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A5-43BE-B11C-E80DDDA7072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A5-43BE-B11C-E80DDDA7072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0A5-43BE-B11C-E80DDDA7072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0A5-43BE-B11C-E80DDDA7072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0A5-43BE-B11C-E80DDDA70722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0A5-43BE-B11C-E80DDDA70722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0A5-43BE-B11C-E80DDDA707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'2023 Sep (monthly)'!$C$2:$C$17</c15:sqref>
                  </c15:fullRef>
                </c:ext>
              </c:extLst>
              <c:f>('2023 Sep (monthly)'!$C$2,'2023 Sep (monthly)'!$C$5,'2023 Sep (monthly)'!$C$8,'2023 Sep (monthly)'!$C$11,'2023 Sep (monthly)'!$C$14:$C$17)</c:f>
              <c:strCache>
                <c:ptCount val="8"/>
                <c:pt idx="0">
                  <c:v>Inception </c:v>
                </c:pt>
                <c:pt idx="1">
                  <c:v>Sep-22</c:v>
                </c:pt>
                <c:pt idx="2">
                  <c:v>Dec-22</c:v>
                </c:pt>
                <c:pt idx="3">
                  <c:v>Mar-23</c:v>
                </c:pt>
                <c:pt idx="4">
                  <c:v>Jun-23</c:v>
                </c:pt>
                <c:pt idx="5">
                  <c:v>Jul-23</c:v>
                </c:pt>
                <c:pt idx="6">
                  <c:v>Aug-23</c:v>
                </c:pt>
                <c:pt idx="7">
                  <c:v>Sep-23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'2023 Sep (monthly)'!$D$2:$D$17</c15:sqref>
                  </c15:fullRef>
                </c:ext>
              </c:extLst>
              <c:f>('2023 Sep (monthly)'!$D$2,'2023 Sep (monthly)'!$D$5,'2023 Sep (monthly)'!$D$8,'2023 Sep (monthly)'!$D$11,'2023 Sep (monthly)'!$D$14:$D$17)</c:f>
              <c:numCache>
                <c:formatCode>0.00</c:formatCode>
                <c:ptCount val="8"/>
                <c:pt idx="0" formatCode="General">
                  <c:v>100</c:v>
                </c:pt>
                <c:pt idx="1">
                  <c:v>99.816999999999993</c:v>
                </c:pt>
                <c:pt idx="2">
                  <c:v>95.546999999999997</c:v>
                </c:pt>
                <c:pt idx="3">
                  <c:v>83.915000000000006</c:v>
                </c:pt>
                <c:pt idx="4">
                  <c:v>79.801625000000001</c:v>
                </c:pt>
                <c:pt idx="5">
                  <c:v>87.030625000000001</c:v>
                </c:pt>
                <c:pt idx="6">
                  <c:v>80.664625000000001</c:v>
                </c:pt>
                <c:pt idx="7">
                  <c:v>76.164249999999996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0A5-43BE-B11C-E80DDDA707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7382880"/>
        <c:axId val="1617385600"/>
      </c:lineChart>
      <c:catAx>
        <c:axId val="161738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617385600"/>
        <c:crosses val="autoZero"/>
        <c:auto val="1"/>
        <c:lblAlgn val="ctr"/>
        <c:lblOffset val="100"/>
        <c:noMultiLvlLbl val="0"/>
      </c:catAx>
      <c:valAx>
        <c:axId val="1617385600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617382880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/>
              <a:t>Fund Performance (Net)</a:t>
            </a:r>
            <a:endParaRPr lang="zh-CN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'2023 Jun (monthly)'!$D$1</c:f>
              <c:strCache>
                <c:ptCount val="1"/>
                <c:pt idx="0">
                  <c:v>NAV/SHARE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878-4947-9BB0-624D2789BB5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878-4947-9BB0-624D2789BB5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878-4947-9BB0-624D2789BB5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878-4947-9BB0-624D2789BB5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'2023 Jun (monthly)'!$C$2:$C$14</c15:sqref>
                  </c15:fullRef>
                </c:ext>
              </c:extLst>
              <c:f>('2023 Jun (monthly)'!$C$2,'2023 Jun (monthly)'!$C$5,'2023 Jun (monthly)'!$C$8,'2023 Jun (monthly)'!$C$11,'2023 Jun (monthly)'!$C$14)</c:f>
              <c:strCache>
                <c:ptCount val="5"/>
                <c:pt idx="0">
                  <c:v>Inception </c:v>
                </c:pt>
                <c:pt idx="1">
                  <c:v>Sep-22</c:v>
                </c:pt>
                <c:pt idx="2">
                  <c:v>Dec-22</c:v>
                </c:pt>
                <c:pt idx="3">
                  <c:v>Mar-23</c:v>
                </c:pt>
                <c:pt idx="4">
                  <c:v>Jun-23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'2023 Jun (monthly)'!$D$2:$D$14</c15:sqref>
                  </c15:fullRef>
                </c:ext>
              </c:extLst>
              <c:f>('2023 Jun (monthly)'!$D$2,'2023 Jun (monthly)'!$D$5,'2023 Jun (monthly)'!$D$8,'2023 Jun (monthly)'!$D$11,'2023 Jun (monthly)'!$D$14)</c:f>
              <c:numCache>
                <c:formatCode>0.00</c:formatCode>
                <c:ptCount val="5"/>
                <c:pt idx="0" formatCode="General">
                  <c:v>100</c:v>
                </c:pt>
                <c:pt idx="1">
                  <c:v>99.816999999999993</c:v>
                </c:pt>
                <c:pt idx="2">
                  <c:v>95.546999999999997</c:v>
                </c:pt>
                <c:pt idx="3">
                  <c:v>83.915000000000006</c:v>
                </c:pt>
                <c:pt idx="4">
                  <c:v>79.801625000000001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878-4947-9BB0-624D2789B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7382880"/>
        <c:axId val="1617385600"/>
      </c:lineChart>
      <c:catAx>
        <c:axId val="161738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617385600"/>
        <c:crosses val="autoZero"/>
        <c:auto val="1"/>
        <c:lblAlgn val="ctr"/>
        <c:lblOffset val="100"/>
        <c:noMultiLvlLbl val="0"/>
      </c:catAx>
      <c:valAx>
        <c:axId val="1617385600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617382880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Fund Performance (Net)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'2023 Mar (monthly)'!$D$1</c:f>
              <c:strCache>
                <c:ptCount val="1"/>
                <c:pt idx="0">
                  <c:v>NAV/SHARE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44A-4A9E-927A-B043737DEB9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44A-4A9E-927A-B043737DEB9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44A-4A9E-927A-B043737DEB9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'2023 Mar (monthly)'!$C$2:$C$11</c15:sqref>
                  </c15:fullRef>
                </c:ext>
              </c:extLst>
              <c:f>('2023 Mar (monthly)'!$C$2,'2023 Mar (monthly)'!$C$5,'2023 Mar (monthly)'!$C$8,'2023 Mar (monthly)'!$C$11)</c:f>
              <c:strCache>
                <c:ptCount val="4"/>
                <c:pt idx="0">
                  <c:v>Inception </c:v>
                </c:pt>
                <c:pt idx="1">
                  <c:v>Sep-22</c:v>
                </c:pt>
                <c:pt idx="2">
                  <c:v>Dec-22</c:v>
                </c:pt>
                <c:pt idx="3">
                  <c:v>Mar-23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'2023 Mar (monthly)'!$D$2:$D$11</c15:sqref>
                  </c15:fullRef>
                </c:ext>
              </c:extLst>
              <c:f>('2023 Mar (monthly)'!$D$2,'2023 Mar (monthly)'!$D$5,'2023 Mar (monthly)'!$D$8,'2023 Mar (monthly)'!$D$11)</c:f>
              <c:numCache>
                <c:formatCode>0.00</c:formatCode>
                <c:ptCount val="4"/>
                <c:pt idx="0" formatCode="General">
                  <c:v>100</c:v>
                </c:pt>
                <c:pt idx="1">
                  <c:v>99.816999999999993</c:v>
                </c:pt>
                <c:pt idx="2">
                  <c:v>95.546999999999997</c:v>
                </c:pt>
                <c:pt idx="3">
                  <c:v>83.915000000000006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2B-411C-BB1E-ACB3D85F7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7382880"/>
        <c:axId val="1617385600"/>
      </c:lineChart>
      <c:catAx>
        <c:axId val="161738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17385600"/>
        <c:crosses val="autoZero"/>
        <c:auto val="1"/>
        <c:lblAlgn val="ctr"/>
        <c:lblOffset val="100"/>
        <c:noMultiLvlLbl val="0"/>
      </c:catAx>
      <c:valAx>
        <c:axId val="161738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17382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Fund Performance (Net)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'2022 Dec (monthly)'!$D$1</c:f>
              <c:strCache>
                <c:ptCount val="1"/>
                <c:pt idx="0">
                  <c:v>NAV/SHARE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AA5-45AC-8396-212A06AE3B4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AA5-45AC-8396-212A06AE3B4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'2022 Dec (monthly)'!$C$2:$C$8</c15:sqref>
                  </c15:fullRef>
                </c:ext>
              </c:extLst>
              <c:f>('2022 Dec (monthly)'!$C$2,'2022 Dec (monthly)'!$C$5,'2022 Dec (monthly)'!$C$8)</c:f>
              <c:strCache>
                <c:ptCount val="3"/>
                <c:pt idx="0">
                  <c:v>Inception </c:v>
                </c:pt>
                <c:pt idx="1">
                  <c:v>Sep-22</c:v>
                </c:pt>
                <c:pt idx="2">
                  <c:v>Dec-22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'2022 Dec (monthly)'!$D$2:$D$8</c15:sqref>
                  </c15:fullRef>
                </c:ext>
              </c:extLst>
              <c:f>('2022 Dec (monthly)'!$D$2,'2022 Dec (monthly)'!$D$5,'2022 Dec (monthly)'!$D$8)</c:f>
              <c:numCache>
                <c:formatCode>General</c:formatCode>
                <c:ptCount val="3"/>
                <c:pt idx="0">
                  <c:v>100</c:v>
                </c:pt>
                <c:pt idx="1">
                  <c:v>99.816999999999993</c:v>
                </c:pt>
                <c:pt idx="2">
                  <c:v>95.546999999999997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99-412D-B046-A7334BE90A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7382880"/>
        <c:axId val="1617385600"/>
      </c:lineChart>
      <c:catAx>
        <c:axId val="161738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17385600"/>
        <c:crosses val="autoZero"/>
        <c:auto val="1"/>
        <c:lblAlgn val="ctr"/>
        <c:lblOffset val="100"/>
        <c:noMultiLvlLbl val="1"/>
      </c:catAx>
      <c:valAx>
        <c:axId val="1617385600"/>
        <c:scaling>
          <c:orientation val="minMax"/>
          <c:max val="101"/>
          <c:min val="9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17382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Fund Performance (Net)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'2022 Sep (monthly)'!$D$1</c:f>
              <c:strCache>
                <c:ptCount val="1"/>
                <c:pt idx="0">
                  <c:v>NAV/SHARE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2857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282-4057-9B1A-3D33874387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'2022 Sep (monthly)'!$C$2:$C$5</c15:sqref>
                  </c15:fullRef>
                </c:ext>
              </c:extLst>
              <c:f>('2022 Sep (monthly)'!$C$2,'2022 Sep (monthly)'!$C$5)</c:f>
              <c:strCache>
                <c:ptCount val="2"/>
                <c:pt idx="0">
                  <c:v>Inception </c:v>
                </c:pt>
                <c:pt idx="1">
                  <c:v>Sep-22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'2022 Sep (monthly)'!$D$2:$D$5</c15:sqref>
                  </c15:fullRef>
                </c:ext>
              </c:extLst>
              <c:f>('2022 Sep (monthly)'!$D$2,'2022 Sep (monthly)'!$D$5)</c:f>
              <c:numCache>
                <c:formatCode>0.00</c:formatCode>
                <c:ptCount val="2"/>
                <c:pt idx="0">
                  <c:v>100</c:v>
                </c:pt>
                <c:pt idx="1">
                  <c:v>99.816999999999993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67-4081-8A8C-DE1BA7A1DC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7382880"/>
        <c:axId val="1617385600"/>
      </c:lineChart>
      <c:catAx>
        <c:axId val="161738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617385600"/>
        <c:crosses val="autoZero"/>
        <c:auto val="1"/>
        <c:lblAlgn val="ctr"/>
        <c:lblOffset val="100"/>
        <c:noMultiLvlLbl val="1"/>
      </c:catAx>
      <c:valAx>
        <c:axId val="161738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617382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Fund Performance (Net)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'2023 Mar'!$E$1</c:f>
              <c:strCache>
                <c:ptCount val="1"/>
                <c:pt idx="0">
                  <c:v>QUARTERLY RETURN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'2023 Mar'!$C$2:$C$4</c:f>
              <c:strCache>
                <c:ptCount val="3"/>
                <c:pt idx="0">
                  <c:v>Inception </c:v>
                </c:pt>
                <c:pt idx="1">
                  <c:v>Sep-22</c:v>
                </c:pt>
                <c:pt idx="2">
                  <c:v>Dec-22</c:v>
                </c:pt>
              </c:strCache>
            </c:strRef>
          </c:cat>
          <c:val>
            <c:numRef>
              <c:f>'2023 Mar'!$E$2:$E$4</c:f>
              <c:numCache>
                <c:formatCode>0.00%</c:formatCode>
                <c:ptCount val="3"/>
                <c:pt idx="1">
                  <c:v>-1.8300000000000694E-3</c:v>
                </c:pt>
                <c:pt idx="2">
                  <c:v>-4.2778284260196142E-2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B0-496D-BB3B-04755413C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5595632"/>
        <c:axId val="2136527984"/>
      </c:barChart>
      <c:lineChart>
        <c:grouping val="standard"/>
        <c:varyColors val="0"/>
        <c:ser>
          <c:idx val="0"/>
          <c:order val="0"/>
          <c:tx>
            <c:strRef>
              <c:f>'2023 Mar'!$D$1</c:f>
              <c:strCache>
                <c:ptCount val="1"/>
                <c:pt idx="0">
                  <c:v>NAV/SHARE</c:v>
                </c:pt>
              </c:strCache>
            </c:strRef>
          </c:tx>
          <c:spPr>
            <a:ln w="28575" cap="rnd">
              <a:solidFill>
                <a:schemeClr val="accent1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'2023 Mar'!$C$2:$C$4</c:f>
              <c:strCache>
                <c:ptCount val="3"/>
                <c:pt idx="0">
                  <c:v>Inception </c:v>
                </c:pt>
                <c:pt idx="1">
                  <c:v>Sep-22</c:v>
                </c:pt>
                <c:pt idx="2">
                  <c:v>Dec-22</c:v>
                </c:pt>
              </c:strCache>
            </c:strRef>
          </c:cat>
          <c:val>
            <c:numRef>
              <c:f>'2023 Mar'!$D$2:$D$4</c:f>
              <c:numCache>
                <c:formatCode>0.00</c:formatCode>
                <c:ptCount val="3"/>
                <c:pt idx="0" formatCode="General">
                  <c:v>100</c:v>
                </c:pt>
                <c:pt idx="1">
                  <c:v>99.816999999999993</c:v>
                </c:pt>
                <c:pt idx="2">
                  <c:v>95.546999999999997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B0-496D-BB3B-04755413C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7382880"/>
        <c:axId val="1617385600"/>
      </c:lineChart>
      <c:catAx>
        <c:axId val="161738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17385600"/>
        <c:crosses val="autoZero"/>
        <c:auto val="1"/>
        <c:lblAlgn val="ctr"/>
        <c:lblOffset val="100"/>
        <c:noMultiLvlLbl val="1"/>
      </c:catAx>
      <c:valAx>
        <c:axId val="161738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17382880"/>
        <c:crosses val="autoZero"/>
        <c:crossBetween val="between"/>
      </c:valAx>
      <c:valAx>
        <c:axId val="213652798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15595632"/>
        <c:crosses val="max"/>
        <c:crossBetween val="between"/>
      </c:valAx>
      <c:catAx>
        <c:axId val="3155956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365279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Fund Performance (Net)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'2023 Mar'!$D$1</c:f>
              <c:strCache>
                <c:ptCount val="1"/>
                <c:pt idx="0">
                  <c:v>NAV/SHARE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'2023 Mar'!$C$2:$C$4</c:f>
              <c:strCache>
                <c:ptCount val="3"/>
                <c:pt idx="0">
                  <c:v>Inception </c:v>
                </c:pt>
                <c:pt idx="1">
                  <c:v>Sep-22</c:v>
                </c:pt>
                <c:pt idx="2">
                  <c:v>Dec-22</c:v>
                </c:pt>
              </c:strCache>
            </c:strRef>
          </c:cat>
          <c:val>
            <c:numRef>
              <c:f>'2023 Mar'!$D$2:$D$4</c:f>
              <c:numCache>
                <c:formatCode>0.00</c:formatCode>
                <c:ptCount val="3"/>
                <c:pt idx="0" formatCode="General">
                  <c:v>100</c:v>
                </c:pt>
                <c:pt idx="1">
                  <c:v>99.816999999999993</c:v>
                </c:pt>
                <c:pt idx="2">
                  <c:v>95.546999999999997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78-423C-9EF6-043458EBC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7382880"/>
        <c:axId val="1617385600"/>
      </c:lineChart>
      <c:catAx>
        <c:axId val="161738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17385600"/>
        <c:crosses val="autoZero"/>
        <c:auto val="1"/>
        <c:lblAlgn val="ctr"/>
        <c:lblOffset val="100"/>
        <c:noMultiLvlLbl val="1"/>
      </c:catAx>
      <c:valAx>
        <c:axId val="161738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17382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Fund Performance (Net)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'2022 Dec'!$E$1</c:f>
              <c:strCache>
                <c:ptCount val="1"/>
                <c:pt idx="0">
                  <c:v>QUARTERLY RETURN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'2022 Dec'!$C$2:$C$4</c:f>
              <c:strCache>
                <c:ptCount val="3"/>
                <c:pt idx="0">
                  <c:v>Inception </c:v>
                </c:pt>
                <c:pt idx="1">
                  <c:v>Sep-22</c:v>
                </c:pt>
                <c:pt idx="2">
                  <c:v>Dec-22</c:v>
                </c:pt>
              </c:strCache>
            </c:strRef>
          </c:cat>
          <c:val>
            <c:numRef>
              <c:f>'2022 Dec'!$E$2:$E$4</c:f>
              <c:numCache>
                <c:formatCode>0.00%</c:formatCode>
                <c:ptCount val="3"/>
                <c:pt idx="0">
                  <c:v>0</c:v>
                </c:pt>
                <c:pt idx="1">
                  <c:v>-1.8300000000000694E-3</c:v>
                </c:pt>
                <c:pt idx="2">
                  <c:v>-4.2778284260196142E-2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E2-40A4-BDDE-9175DE22E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5595632"/>
        <c:axId val="2136527984"/>
      </c:barChart>
      <c:lineChart>
        <c:grouping val="standard"/>
        <c:varyColors val="0"/>
        <c:ser>
          <c:idx val="0"/>
          <c:order val="0"/>
          <c:tx>
            <c:strRef>
              <c:f>'2022 Dec'!$D$1</c:f>
              <c:strCache>
                <c:ptCount val="1"/>
                <c:pt idx="0">
                  <c:v>NAV/SHARE</c:v>
                </c:pt>
              </c:strCache>
            </c:strRef>
          </c:tx>
          <c:spPr>
            <a:ln w="28575" cap="rnd">
              <a:solidFill>
                <a:schemeClr val="accent1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'2022 Dec'!$C$2:$C$4</c:f>
              <c:strCache>
                <c:ptCount val="3"/>
                <c:pt idx="0">
                  <c:v>Inception </c:v>
                </c:pt>
                <c:pt idx="1">
                  <c:v>Sep-22</c:v>
                </c:pt>
                <c:pt idx="2">
                  <c:v>Dec-22</c:v>
                </c:pt>
              </c:strCache>
            </c:strRef>
          </c:cat>
          <c:val>
            <c:numRef>
              <c:f>'2022 Dec'!$D$2:$D$4</c:f>
              <c:numCache>
                <c:formatCode>0.00</c:formatCode>
                <c:ptCount val="3"/>
                <c:pt idx="0" formatCode="General">
                  <c:v>100</c:v>
                </c:pt>
                <c:pt idx="1">
                  <c:v>99.816999999999993</c:v>
                </c:pt>
                <c:pt idx="2">
                  <c:v>95.546999999999997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97-4542-ADE7-98A5F0A6C6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7382880"/>
        <c:axId val="1617385600"/>
      </c:lineChart>
      <c:catAx>
        <c:axId val="161738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17385600"/>
        <c:crosses val="autoZero"/>
        <c:auto val="1"/>
        <c:lblAlgn val="ctr"/>
        <c:lblOffset val="100"/>
        <c:noMultiLvlLbl val="1"/>
      </c:catAx>
      <c:valAx>
        <c:axId val="161738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17382880"/>
        <c:crosses val="autoZero"/>
        <c:crossBetween val="between"/>
      </c:valAx>
      <c:valAx>
        <c:axId val="213652798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15595632"/>
        <c:crosses val="max"/>
        <c:crossBetween val="between"/>
      </c:valAx>
      <c:catAx>
        <c:axId val="3155956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365279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Fund Performance (Net)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'2022 Dec'!$D$1</c:f>
              <c:strCache>
                <c:ptCount val="1"/>
                <c:pt idx="0">
                  <c:v>NAV/SHARE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'2022 Dec'!$C$2:$C$4</c:f>
              <c:strCache>
                <c:ptCount val="3"/>
                <c:pt idx="0">
                  <c:v>Inception </c:v>
                </c:pt>
                <c:pt idx="1">
                  <c:v>Sep-22</c:v>
                </c:pt>
                <c:pt idx="2">
                  <c:v>Dec-22</c:v>
                </c:pt>
              </c:strCache>
            </c:strRef>
          </c:cat>
          <c:val>
            <c:numRef>
              <c:f>'2022 Dec'!$D$2:$D$4</c:f>
              <c:numCache>
                <c:formatCode>0.00</c:formatCode>
                <c:ptCount val="3"/>
                <c:pt idx="0" formatCode="General">
                  <c:v>100</c:v>
                </c:pt>
                <c:pt idx="1">
                  <c:v>99.816999999999993</c:v>
                </c:pt>
                <c:pt idx="2">
                  <c:v>95.546999999999997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AE-486C-BD1E-3B995AB4A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7382880"/>
        <c:axId val="1617385600"/>
      </c:lineChart>
      <c:catAx>
        <c:axId val="161738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17385600"/>
        <c:crosses val="autoZero"/>
        <c:auto val="1"/>
        <c:lblAlgn val="ctr"/>
        <c:lblOffset val="100"/>
        <c:noMultiLvlLbl val="1"/>
      </c:catAx>
      <c:valAx>
        <c:axId val="161738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17382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Fund Performance (Net)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'2022 Sep'!$E$1</c:f>
              <c:strCache>
                <c:ptCount val="1"/>
                <c:pt idx="0">
                  <c:v>QUARTERLY RETURN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'2022 Sep'!$C$2:$C$3</c:f>
              <c:strCache>
                <c:ptCount val="2"/>
                <c:pt idx="0">
                  <c:v>Inception </c:v>
                </c:pt>
                <c:pt idx="1">
                  <c:v>Sep-22</c:v>
                </c:pt>
              </c:strCache>
            </c:strRef>
          </c:cat>
          <c:val>
            <c:numRef>
              <c:f>'2022 Sep'!$E$2:$E$3</c:f>
              <c:numCache>
                <c:formatCode>0.00%</c:formatCode>
                <c:ptCount val="2"/>
                <c:pt idx="0">
                  <c:v>0</c:v>
                </c:pt>
                <c:pt idx="1">
                  <c:v>-1.8300000000000694E-3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CE-45A0-BD9F-0ACD8DEDB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8465072"/>
        <c:axId val="1058468432"/>
      </c:barChart>
      <c:lineChart>
        <c:grouping val="standard"/>
        <c:varyColors val="0"/>
        <c:ser>
          <c:idx val="0"/>
          <c:order val="0"/>
          <c:tx>
            <c:strRef>
              <c:f>'2022 Sep'!$D$1</c:f>
              <c:strCache>
                <c:ptCount val="1"/>
                <c:pt idx="0">
                  <c:v>NAV/SHARE</c:v>
                </c:pt>
              </c:strCache>
            </c:strRef>
          </c:tx>
          <c:spPr>
            <a:ln w="28575" cap="rnd">
              <a:solidFill>
                <a:schemeClr val="accent1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'2022 Sep'!$C$2:$C$3</c:f>
              <c:strCache>
                <c:ptCount val="2"/>
                <c:pt idx="0">
                  <c:v>Inception </c:v>
                </c:pt>
                <c:pt idx="1">
                  <c:v>Sep-22</c:v>
                </c:pt>
              </c:strCache>
            </c:strRef>
          </c:cat>
          <c:val>
            <c:numRef>
              <c:f>'2022 Sep'!$D$2:$D$3</c:f>
              <c:numCache>
                <c:formatCode>0.00</c:formatCode>
                <c:ptCount val="2"/>
                <c:pt idx="0" formatCode="General">
                  <c:v>100</c:v>
                </c:pt>
                <c:pt idx="1">
                  <c:v>99.816999999999993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3B-4AEC-90C6-60F5FB492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7382880"/>
        <c:axId val="1617385600"/>
      </c:lineChart>
      <c:catAx>
        <c:axId val="161738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17385600"/>
        <c:crosses val="autoZero"/>
        <c:auto val="1"/>
        <c:lblAlgn val="ctr"/>
        <c:lblOffset val="100"/>
        <c:noMultiLvlLbl val="1"/>
      </c:catAx>
      <c:valAx>
        <c:axId val="161738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17382880"/>
        <c:crosses val="autoZero"/>
        <c:crossBetween val="between"/>
      </c:valAx>
      <c:valAx>
        <c:axId val="1058468432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58465072"/>
        <c:crosses val="max"/>
        <c:crossBetween val="between"/>
      </c:valAx>
      <c:catAx>
        <c:axId val="10584650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84684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Fund Performance (Net)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'2022 Sep'!$D$1</c:f>
              <c:strCache>
                <c:ptCount val="1"/>
                <c:pt idx="0">
                  <c:v>NAV/SHARE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'2022 Sep'!$C$2:$C$3</c:f>
              <c:strCache>
                <c:ptCount val="2"/>
                <c:pt idx="0">
                  <c:v>Inception </c:v>
                </c:pt>
                <c:pt idx="1">
                  <c:v>Sep-22</c:v>
                </c:pt>
              </c:strCache>
            </c:strRef>
          </c:cat>
          <c:val>
            <c:numRef>
              <c:f>'2022 Sep'!$D$2:$D$3</c:f>
              <c:numCache>
                <c:formatCode>0.00</c:formatCode>
                <c:ptCount val="2"/>
                <c:pt idx="0" formatCode="General">
                  <c:v>100</c:v>
                </c:pt>
                <c:pt idx="1">
                  <c:v>99.816999999999993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2E-4288-9788-7FFED1136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7382880"/>
        <c:axId val="1617385600"/>
      </c:lineChart>
      <c:catAx>
        <c:axId val="161738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17385600"/>
        <c:crosses val="autoZero"/>
        <c:auto val="1"/>
        <c:lblAlgn val="ctr"/>
        <c:lblOffset val="100"/>
        <c:noMultiLvlLbl val="1"/>
      </c:catAx>
      <c:valAx>
        <c:axId val="161738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17382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5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6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7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8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9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0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274922</xdr:colOff>
      <xdr:row>1</xdr:row>
      <xdr:rowOff>43324</xdr:rowOff>
    </xdr:from>
    <xdr:to>
      <xdr:col>18</xdr:col>
      <xdr:colOff>993322</xdr:colOff>
      <xdr:row>20</xdr:row>
      <xdr:rowOff>33982</xdr:rowOff>
    </xdr:to>
    <xdr:graphicFrame macro="">
      <xdr:nvGraphicFramePr>
        <xdr:cNvPr id="2" name="图表 3">
          <a:extLst>
            <a:ext uri="{FF2B5EF4-FFF2-40B4-BE49-F238E27FC236}">
              <a16:creationId xmlns:a16="http://schemas.microsoft.com/office/drawing/2014/main" id="{923B69E6-9E4B-42BF-8326-0AA537369D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274922</xdr:colOff>
      <xdr:row>1</xdr:row>
      <xdr:rowOff>43324</xdr:rowOff>
    </xdr:from>
    <xdr:to>
      <xdr:col>18</xdr:col>
      <xdr:colOff>993322</xdr:colOff>
      <xdr:row>20</xdr:row>
      <xdr:rowOff>33982</xdr:rowOff>
    </xdr:to>
    <xdr:graphicFrame macro="">
      <xdr:nvGraphicFramePr>
        <xdr:cNvPr id="2" name="图表 3">
          <a:extLst>
            <a:ext uri="{FF2B5EF4-FFF2-40B4-BE49-F238E27FC236}">
              <a16:creationId xmlns:a16="http://schemas.microsoft.com/office/drawing/2014/main" id="{97E89816-34D7-4C50-9C41-5177046AB2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274922</xdr:colOff>
      <xdr:row>1</xdr:row>
      <xdr:rowOff>43324</xdr:rowOff>
    </xdr:from>
    <xdr:to>
      <xdr:col>18</xdr:col>
      <xdr:colOff>993322</xdr:colOff>
      <xdr:row>20</xdr:row>
      <xdr:rowOff>33982</xdr:rowOff>
    </xdr:to>
    <xdr:graphicFrame macro="">
      <xdr:nvGraphicFramePr>
        <xdr:cNvPr id="2" name="图表 3">
          <a:extLst>
            <a:ext uri="{FF2B5EF4-FFF2-40B4-BE49-F238E27FC236}">
              <a16:creationId xmlns:a16="http://schemas.microsoft.com/office/drawing/2014/main" id="{4D85D387-4030-4420-BA82-D0701CA223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274922</xdr:colOff>
      <xdr:row>1</xdr:row>
      <xdr:rowOff>43324</xdr:rowOff>
    </xdr:from>
    <xdr:to>
      <xdr:col>18</xdr:col>
      <xdr:colOff>993322</xdr:colOff>
      <xdr:row>20</xdr:row>
      <xdr:rowOff>33982</xdr:rowOff>
    </xdr:to>
    <xdr:graphicFrame macro="">
      <xdr:nvGraphicFramePr>
        <xdr:cNvPr id="2" name="图表 3">
          <a:extLst>
            <a:ext uri="{FF2B5EF4-FFF2-40B4-BE49-F238E27FC236}">
              <a16:creationId xmlns:a16="http://schemas.microsoft.com/office/drawing/2014/main" id="{28E4A726-4158-4898-8E37-C1FECB6E77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274922</xdr:colOff>
      <xdr:row>1</xdr:row>
      <xdr:rowOff>43324</xdr:rowOff>
    </xdr:from>
    <xdr:to>
      <xdr:col>18</xdr:col>
      <xdr:colOff>993322</xdr:colOff>
      <xdr:row>20</xdr:row>
      <xdr:rowOff>33982</xdr:rowOff>
    </xdr:to>
    <xdr:graphicFrame macro="">
      <xdr:nvGraphicFramePr>
        <xdr:cNvPr id="2" name="图表 3">
          <a:extLst>
            <a:ext uri="{FF2B5EF4-FFF2-40B4-BE49-F238E27FC236}">
              <a16:creationId xmlns:a16="http://schemas.microsoft.com/office/drawing/2014/main" id="{8F7DE6FF-5118-4481-8631-D3D6488FD2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271112</xdr:colOff>
      <xdr:row>1</xdr:row>
      <xdr:rowOff>6384</xdr:rowOff>
    </xdr:from>
    <xdr:to>
      <xdr:col>17</xdr:col>
      <xdr:colOff>196273</xdr:colOff>
      <xdr:row>19</xdr:row>
      <xdr:rowOff>11546</xdr:rowOff>
    </xdr:to>
    <xdr:graphicFrame macro="">
      <xdr:nvGraphicFramePr>
        <xdr:cNvPr id="2" name="图表 3">
          <a:extLst>
            <a:ext uri="{FF2B5EF4-FFF2-40B4-BE49-F238E27FC236}">
              <a16:creationId xmlns:a16="http://schemas.microsoft.com/office/drawing/2014/main" id="{A71DE5B6-78E3-4A45-BE14-6434DBA490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271112</xdr:colOff>
      <xdr:row>1</xdr:row>
      <xdr:rowOff>6384</xdr:rowOff>
    </xdr:from>
    <xdr:to>
      <xdr:col>16</xdr:col>
      <xdr:colOff>196273</xdr:colOff>
      <xdr:row>19</xdr:row>
      <xdr:rowOff>11546</xdr:rowOff>
    </xdr:to>
    <xdr:graphicFrame macro="">
      <xdr:nvGraphicFramePr>
        <xdr:cNvPr id="2" name="图表 3">
          <a:extLst>
            <a:ext uri="{FF2B5EF4-FFF2-40B4-BE49-F238E27FC236}">
              <a16:creationId xmlns:a16="http://schemas.microsoft.com/office/drawing/2014/main" id="{B99BA4F1-857F-485B-B1FD-B964D72BFD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271112</xdr:colOff>
      <xdr:row>1</xdr:row>
      <xdr:rowOff>6384</xdr:rowOff>
    </xdr:from>
    <xdr:to>
      <xdr:col>15</xdr:col>
      <xdr:colOff>275936</xdr:colOff>
      <xdr:row>17</xdr:row>
      <xdr:rowOff>13451</xdr:rowOff>
    </xdr:to>
    <xdr:graphicFrame macro="">
      <xdr:nvGraphicFramePr>
        <xdr:cNvPr id="2" name="图表 3">
          <a:extLst>
            <a:ext uri="{FF2B5EF4-FFF2-40B4-BE49-F238E27FC236}">
              <a16:creationId xmlns:a16="http://schemas.microsoft.com/office/drawing/2014/main" id="{55872183-FF5B-4A01-8EE3-BE077B1CED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271112</xdr:colOff>
      <xdr:row>1</xdr:row>
      <xdr:rowOff>6384</xdr:rowOff>
    </xdr:from>
    <xdr:to>
      <xdr:col>17</xdr:col>
      <xdr:colOff>196273</xdr:colOff>
      <xdr:row>19</xdr:row>
      <xdr:rowOff>11546</xdr:rowOff>
    </xdr:to>
    <xdr:graphicFrame macro="">
      <xdr:nvGraphicFramePr>
        <xdr:cNvPr id="2" name="图表 3">
          <a:extLst>
            <a:ext uri="{FF2B5EF4-FFF2-40B4-BE49-F238E27FC236}">
              <a16:creationId xmlns:a16="http://schemas.microsoft.com/office/drawing/2014/main" id="{C78CD56C-672B-48EA-8593-DBB486C321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214410</xdr:colOff>
      <xdr:row>1</xdr:row>
      <xdr:rowOff>1228</xdr:rowOff>
    </xdr:from>
    <xdr:to>
      <xdr:col>17</xdr:col>
      <xdr:colOff>477370</xdr:colOff>
      <xdr:row>20</xdr:row>
      <xdr:rowOff>35858</xdr:rowOff>
    </xdr:to>
    <xdr:graphicFrame macro="">
      <xdr:nvGraphicFramePr>
        <xdr:cNvPr id="2" name="图表 3">
          <a:extLst>
            <a:ext uri="{FF2B5EF4-FFF2-40B4-BE49-F238E27FC236}">
              <a16:creationId xmlns:a16="http://schemas.microsoft.com/office/drawing/2014/main" id="{0131CCF0-46D8-445D-B7A4-74C5335A39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271112</xdr:colOff>
      <xdr:row>1</xdr:row>
      <xdr:rowOff>6384</xdr:rowOff>
    </xdr:from>
    <xdr:to>
      <xdr:col>15</xdr:col>
      <xdr:colOff>275936</xdr:colOff>
      <xdr:row>17</xdr:row>
      <xdr:rowOff>13451</xdr:rowOff>
    </xdr:to>
    <xdr:graphicFrame macro="">
      <xdr:nvGraphicFramePr>
        <xdr:cNvPr id="2" name="图表 3">
          <a:extLst>
            <a:ext uri="{FF2B5EF4-FFF2-40B4-BE49-F238E27FC236}">
              <a16:creationId xmlns:a16="http://schemas.microsoft.com/office/drawing/2014/main" id="{0CA25BAC-1882-44DC-9919-0A67D12E50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271112</xdr:colOff>
      <xdr:row>1</xdr:row>
      <xdr:rowOff>6384</xdr:rowOff>
    </xdr:from>
    <xdr:to>
      <xdr:col>15</xdr:col>
      <xdr:colOff>275936</xdr:colOff>
      <xdr:row>17</xdr:row>
      <xdr:rowOff>13451</xdr:rowOff>
    </xdr:to>
    <xdr:graphicFrame macro="">
      <xdr:nvGraphicFramePr>
        <xdr:cNvPr id="2" name="图表 3">
          <a:extLst>
            <a:ext uri="{FF2B5EF4-FFF2-40B4-BE49-F238E27FC236}">
              <a16:creationId xmlns:a16="http://schemas.microsoft.com/office/drawing/2014/main" id="{DB9162DB-2E00-4059-920A-59873DCBC7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271112</xdr:colOff>
      <xdr:row>1</xdr:row>
      <xdr:rowOff>6384</xdr:rowOff>
    </xdr:from>
    <xdr:to>
      <xdr:col>15</xdr:col>
      <xdr:colOff>275936</xdr:colOff>
      <xdr:row>17</xdr:row>
      <xdr:rowOff>13451</xdr:rowOff>
    </xdr:to>
    <xdr:graphicFrame macro="">
      <xdr:nvGraphicFramePr>
        <xdr:cNvPr id="2" name="图表 3">
          <a:extLst>
            <a:ext uri="{FF2B5EF4-FFF2-40B4-BE49-F238E27FC236}">
              <a16:creationId xmlns:a16="http://schemas.microsoft.com/office/drawing/2014/main" id="{E24D9360-37E5-417C-8EE6-AAEEB67F80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606392</xdr:colOff>
      <xdr:row>0</xdr:row>
      <xdr:rowOff>189264</xdr:rowOff>
    </xdr:from>
    <xdr:to>
      <xdr:col>15</xdr:col>
      <xdr:colOff>1616</xdr:colOff>
      <xdr:row>16</xdr:row>
      <xdr:rowOff>196331</xdr:rowOff>
    </xdr:to>
    <xdr:graphicFrame macro="">
      <xdr:nvGraphicFramePr>
        <xdr:cNvPr id="2" name="图表 3">
          <a:extLst>
            <a:ext uri="{FF2B5EF4-FFF2-40B4-BE49-F238E27FC236}">
              <a16:creationId xmlns:a16="http://schemas.microsoft.com/office/drawing/2014/main" id="{E140EBA5-81A4-46C7-9E0C-F78A1EB150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606392</xdr:colOff>
      <xdr:row>0</xdr:row>
      <xdr:rowOff>189264</xdr:rowOff>
    </xdr:from>
    <xdr:to>
      <xdr:col>15</xdr:col>
      <xdr:colOff>1616</xdr:colOff>
      <xdr:row>16</xdr:row>
      <xdr:rowOff>196331</xdr:rowOff>
    </xdr:to>
    <xdr:graphicFrame macro="">
      <xdr:nvGraphicFramePr>
        <xdr:cNvPr id="2" name="图表 3">
          <a:extLst>
            <a:ext uri="{FF2B5EF4-FFF2-40B4-BE49-F238E27FC236}">
              <a16:creationId xmlns:a16="http://schemas.microsoft.com/office/drawing/2014/main" id="{AD4C5F4B-8F95-4F38-ABA0-3387771B95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652112</xdr:colOff>
      <xdr:row>1</xdr:row>
      <xdr:rowOff>6384</xdr:rowOff>
    </xdr:from>
    <xdr:to>
      <xdr:col>14</xdr:col>
      <xdr:colOff>2066636</xdr:colOff>
      <xdr:row>17</xdr:row>
      <xdr:rowOff>11546</xdr:rowOff>
    </xdr:to>
    <xdr:graphicFrame macro="">
      <xdr:nvGraphicFramePr>
        <xdr:cNvPr id="3" name="图表 3">
          <a:extLst>
            <a:ext uri="{FF2B5EF4-FFF2-40B4-BE49-F238E27FC236}">
              <a16:creationId xmlns:a16="http://schemas.microsoft.com/office/drawing/2014/main" id="{5A8481D7-5F14-417B-94D3-C0FE72229A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17116</xdr:colOff>
      <xdr:row>3</xdr:row>
      <xdr:rowOff>17929</xdr:rowOff>
    </xdr:from>
    <xdr:to>
      <xdr:col>15</xdr:col>
      <xdr:colOff>523875</xdr:colOff>
      <xdr:row>19</xdr:row>
      <xdr:rowOff>79374</xdr:rowOff>
    </xdr:to>
    <xdr:graphicFrame macro="">
      <xdr:nvGraphicFramePr>
        <xdr:cNvPr id="3" name="图表 3">
          <a:extLst>
            <a:ext uri="{FF2B5EF4-FFF2-40B4-BE49-F238E27FC236}">
              <a16:creationId xmlns:a16="http://schemas.microsoft.com/office/drawing/2014/main" id="{38DCB901-8393-4334-A21A-676BDDBA3A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661147</xdr:colOff>
      <xdr:row>1</xdr:row>
      <xdr:rowOff>19984</xdr:rowOff>
    </xdr:from>
    <xdr:to>
      <xdr:col>16</xdr:col>
      <xdr:colOff>460592</xdr:colOff>
      <xdr:row>18</xdr:row>
      <xdr:rowOff>165453</xdr:rowOff>
    </xdr:to>
    <xdr:graphicFrame macro="">
      <xdr:nvGraphicFramePr>
        <xdr:cNvPr id="3" name="图表 3">
          <a:extLst>
            <a:ext uri="{FF2B5EF4-FFF2-40B4-BE49-F238E27FC236}">
              <a16:creationId xmlns:a16="http://schemas.microsoft.com/office/drawing/2014/main" id="{2A5B1D57-D350-4177-85F2-B9E01F49B8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19843</xdr:colOff>
      <xdr:row>0</xdr:row>
      <xdr:rowOff>205834</xdr:rowOff>
    </xdr:from>
    <xdr:to>
      <xdr:col>15</xdr:col>
      <xdr:colOff>526676</xdr:colOff>
      <xdr:row>16</xdr:row>
      <xdr:rowOff>156882</xdr:rowOff>
    </xdr:to>
    <xdr:graphicFrame macro="">
      <xdr:nvGraphicFramePr>
        <xdr:cNvPr id="2" name="图表 3">
          <a:extLst>
            <a:ext uri="{FF2B5EF4-FFF2-40B4-BE49-F238E27FC236}">
              <a16:creationId xmlns:a16="http://schemas.microsoft.com/office/drawing/2014/main" id="{D25B30DD-463F-4A94-928E-B894AFF1D0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502023</xdr:colOff>
      <xdr:row>1</xdr:row>
      <xdr:rowOff>17930</xdr:rowOff>
    </xdr:from>
    <xdr:to>
      <xdr:col>28</xdr:col>
      <xdr:colOff>4809</xdr:colOff>
      <xdr:row>16</xdr:row>
      <xdr:rowOff>175166</xdr:rowOff>
    </xdr:to>
    <xdr:graphicFrame macro="">
      <xdr:nvGraphicFramePr>
        <xdr:cNvPr id="3" name="图表 3">
          <a:extLst>
            <a:ext uri="{FF2B5EF4-FFF2-40B4-BE49-F238E27FC236}">
              <a16:creationId xmlns:a16="http://schemas.microsoft.com/office/drawing/2014/main" id="{6BB874E0-EE56-463D-B54A-48A5E0438E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19843</xdr:colOff>
      <xdr:row>0</xdr:row>
      <xdr:rowOff>205834</xdr:rowOff>
    </xdr:from>
    <xdr:to>
      <xdr:col>15</xdr:col>
      <xdr:colOff>526676</xdr:colOff>
      <xdr:row>16</xdr:row>
      <xdr:rowOff>156882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8561B72-860D-474E-9A87-54ED5FA8A4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502023</xdr:colOff>
      <xdr:row>1</xdr:row>
      <xdr:rowOff>17930</xdr:rowOff>
    </xdr:from>
    <xdr:to>
      <xdr:col>28</xdr:col>
      <xdr:colOff>4809</xdr:colOff>
      <xdr:row>16</xdr:row>
      <xdr:rowOff>175166</xdr:rowOff>
    </xdr:to>
    <xdr:graphicFrame macro="">
      <xdr:nvGraphicFramePr>
        <xdr:cNvPr id="2" name="图表 3">
          <a:extLst>
            <a:ext uri="{FF2B5EF4-FFF2-40B4-BE49-F238E27FC236}">
              <a16:creationId xmlns:a16="http://schemas.microsoft.com/office/drawing/2014/main" id="{1BBDD2CF-8824-4392-BF91-588F455AB7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1608388</xdr:colOff>
      <xdr:row>0</xdr:row>
      <xdr:rowOff>184319</xdr:rowOff>
    </xdr:from>
    <xdr:to>
      <xdr:col>14</xdr:col>
      <xdr:colOff>1361067</xdr:colOff>
      <xdr:row>18</xdr:row>
      <xdr:rowOff>127410</xdr:rowOff>
    </xdr:to>
    <xdr:graphicFrame macro="">
      <xdr:nvGraphicFramePr>
        <xdr:cNvPr id="2" name="图表 3">
          <a:extLst>
            <a:ext uri="{FF2B5EF4-FFF2-40B4-BE49-F238E27FC236}">
              <a16:creationId xmlns:a16="http://schemas.microsoft.com/office/drawing/2014/main" id="{FC0F4C78-8621-4E73-81A9-55775BE7B0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89647</xdr:colOff>
      <xdr:row>1</xdr:row>
      <xdr:rowOff>35859</xdr:rowOff>
    </xdr:from>
    <xdr:to>
      <xdr:col>24</xdr:col>
      <xdr:colOff>428842</xdr:colOff>
      <xdr:row>18</xdr:row>
      <xdr:rowOff>181328</xdr:rowOff>
    </xdr:to>
    <xdr:graphicFrame macro="">
      <xdr:nvGraphicFramePr>
        <xdr:cNvPr id="3" name="图表 3">
          <a:extLst>
            <a:ext uri="{FF2B5EF4-FFF2-40B4-BE49-F238E27FC236}">
              <a16:creationId xmlns:a16="http://schemas.microsoft.com/office/drawing/2014/main" id="{9653538A-E982-4283-A48A-D5323CA857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6E054-B8E2-4CB7-95DA-3DD5BDE619BD}">
  <dimension ref="A1:AG133"/>
  <sheetViews>
    <sheetView tabSelected="1" zoomScale="70" zoomScaleNormal="70" workbookViewId="0">
      <selection activeCell="G60" sqref="G60"/>
    </sheetView>
  </sheetViews>
  <sheetFormatPr defaultRowHeight="16.2"/>
  <cols>
    <col min="1" max="1" width="31.5546875" customWidth="1"/>
    <col min="2" max="2" width="17.33203125" bestFit="1" customWidth="1"/>
    <col min="3" max="3" width="16.21875" customWidth="1"/>
    <col min="4" max="4" width="17" customWidth="1"/>
    <col min="5" max="5" width="28" customWidth="1"/>
    <col min="6" max="6" width="21.44140625" customWidth="1"/>
    <col min="7" max="7" width="20.44140625" customWidth="1"/>
    <col min="8" max="9" width="15.77734375" customWidth="1"/>
    <col min="10" max="10" width="14.88671875" customWidth="1"/>
    <col min="13" max="13" width="10.6640625" bestFit="1" customWidth="1"/>
    <col min="16" max="16" width="27.21875" customWidth="1"/>
    <col min="17" max="17" width="10" bestFit="1" customWidth="1"/>
    <col min="19" max="19" width="27.109375" customWidth="1"/>
    <col min="20" max="20" width="9.44140625" bestFit="1" customWidth="1"/>
  </cols>
  <sheetData>
    <row r="1" spans="2:33">
      <c r="B1" t="s">
        <v>55</v>
      </c>
      <c r="C1" s="75" t="s">
        <v>53</v>
      </c>
      <c r="E1" t="s">
        <v>0</v>
      </c>
      <c r="F1" t="s">
        <v>8</v>
      </c>
      <c r="H1" s="67" t="s">
        <v>56</v>
      </c>
      <c r="I1" s="67" t="s">
        <v>50</v>
      </c>
    </row>
    <row r="2" spans="2:33">
      <c r="D2" t="s">
        <v>25</v>
      </c>
      <c r="E2">
        <v>100</v>
      </c>
    </row>
    <row r="3" spans="2:33">
      <c r="B3">
        <v>5000</v>
      </c>
      <c r="C3" s="38">
        <v>515058.38</v>
      </c>
      <c r="D3" s="37">
        <v>44749</v>
      </c>
      <c r="E3" s="2">
        <f>C3/B3</f>
        <v>103.01167599999999</v>
      </c>
      <c r="F3" s="1">
        <f>(E3-100)/100</f>
        <v>3.0116759999999944E-2</v>
      </c>
      <c r="G3" s="22">
        <f>F3+1</f>
        <v>1.0301167599999999</v>
      </c>
    </row>
    <row r="4" spans="2:33">
      <c r="B4">
        <v>5000</v>
      </c>
      <c r="C4" s="38">
        <v>526213.68000000005</v>
      </c>
      <c r="D4" s="37">
        <v>44780</v>
      </c>
      <c r="E4" s="2">
        <f t="shared" ref="E4:E43" si="0">C4/B4</f>
        <v>105.24273600000001</v>
      </c>
      <c r="F4" s="1">
        <f>E4/E3-1</f>
        <v>2.1658321528522873E-2</v>
      </c>
      <c r="G4" s="22">
        <f>F4+1</f>
        <v>1.0216583215285229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2:33">
      <c r="B5">
        <v>5000</v>
      </c>
      <c r="C5" s="38">
        <v>499085</v>
      </c>
      <c r="D5" s="54">
        <v>44811</v>
      </c>
      <c r="E5" s="2">
        <f t="shared" si="0"/>
        <v>99.816999999999993</v>
      </c>
      <c r="F5" s="1">
        <f t="shared" ref="F5:F14" si="1">E5/E4-1</f>
        <v>-5.1554493984269034E-2</v>
      </c>
      <c r="G5" s="22">
        <f>F5+1</f>
        <v>0.94844550601573097</v>
      </c>
    </row>
    <row r="6" spans="2:33">
      <c r="B6">
        <v>8000</v>
      </c>
      <c r="C6" s="38">
        <v>784518</v>
      </c>
      <c r="D6" s="37">
        <v>44835</v>
      </c>
      <c r="E6" s="2">
        <f t="shared" si="0"/>
        <v>98.064750000000004</v>
      </c>
      <c r="F6" s="1">
        <f t="shared" si="1"/>
        <v>-1.755462496368343E-2</v>
      </c>
      <c r="G6" s="22">
        <f t="shared" ref="G6:G13" si="2">F6+1</f>
        <v>0.98244537503631657</v>
      </c>
    </row>
    <row r="7" spans="2:33">
      <c r="B7">
        <v>8000</v>
      </c>
      <c r="C7" s="38">
        <v>788818</v>
      </c>
      <c r="D7" s="37">
        <v>44866</v>
      </c>
      <c r="E7" s="2">
        <f t="shared" si="0"/>
        <v>98.602249999999998</v>
      </c>
      <c r="F7" s="1">
        <f t="shared" si="1"/>
        <v>5.4810724546792144E-3</v>
      </c>
      <c r="G7" s="22">
        <f t="shared" si="2"/>
        <v>1.0054810724546792</v>
      </c>
    </row>
    <row r="8" spans="2:33">
      <c r="B8">
        <v>8000</v>
      </c>
      <c r="C8" s="38">
        <v>764376</v>
      </c>
      <c r="D8" s="54">
        <v>44896</v>
      </c>
      <c r="E8" s="2">
        <f t="shared" si="0"/>
        <v>95.546999999999997</v>
      </c>
      <c r="F8" s="1">
        <f t="shared" si="1"/>
        <v>-3.0985601241350968E-2</v>
      </c>
      <c r="G8" s="22">
        <f t="shared" si="2"/>
        <v>0.96901439875864903</v>
      </c>
      <c r="I8" s="1">
        <f>E8/E2-1</f>
        <v>-4.453000000000007E-2</v>
      </c>
    </row>
    <row r="9" spans="2:33">
      <c r="B9">
        <v>8000</v>
      </c>
      <c r="C9" s="38">
        <v>743817</v>
      </c>
      <c r="D9" s="37">
        <v>44927</v>
      </c>
      <c r="E9" s="2">
        <f t="shared" si="0"/>
        <v>92.977125000000001</v>
      </c>
      <c r="F9" s="1">
        <f t="shared" si="1"/>
        <v>-2.6896448868096279E-2</v>
      </c>
      <c r="G9" s="22">
        <f t="shared" si="2"/>
        <v>0.97310355113190372</v>
      </c>
      <c r="I9" s="1"/>
    </row>
    <row r="10" spans="2:33">
      <c r="B10">
        <v>8000</v>
      </c>
      <c r="C10" s="38">
        <v>689680</v>
      </c>
      <c r="D10" s="37">
        <v>44958</v>
      </c>
      <c r="E10" s="2">
        <f t="shared" si="0"/>
        <v>86.21</v>
      </c>
      <c r="F10" s="1">
        <f t="shared" si="1"/>
        <v>-7.2782687139444358E-2</v>
      </c>
      <c r="G10" s="22">
        <f t="shared" si="2"/>
        <v>0.92721731286055564</v>
      </c>
      <c r="I10" s="1"/>
    </row>
    <row r="11" spans="2:33">
      <c r="B11">
        <v>8000</v>
      </c>
      <c r="C11" s="38">
        <v>671320</v>
      </c>
      <c r="D11" s="54">
        <v>44986</v>
      </c>
      <c r="E11" s="2">
        <f t="shared" si="0"/>
        <v>83.915000000000006</v>
      </c>
      <c r="F11" s="1">
        <f t="shared" si="1"/>
        <v>-2.6621041642500676E-2</v>
      </c>
      <c r="G11" s="22">
        <f t="shared" si="2"/>
        <v>0.97337895835749932</v>
      </c>
      <c r="H11" s="1">
        <f>E11/E8-1</f>
        <v>-0.12174113263629405</v>
      </c>
      <c r="I11" s="1"/>
    </row>
    <row r="12" spans="2:33">
      <c r="B12">
        <v>8000</v>
      </c>
      <c r="C12" s="38">
        <v>629655</v>
      </c>
      <c r="D12" s="58">
        <v>45017</v>
      </c>
      <c r="E12" s="2">
        <f t="shared" si="0"/>
        <v>78.706874999999997</v>
      </c>
      <c r="F12" s="1">
        <f t="shared" si="1"/>
        <v>-6.2064291247095338E-2</v>
      </c>
      <c r="G12" s="22">
        <f t="shared" si="2"/>
        <v>0.93793570875290466</v>
      </c>
      <c r="H12" s="1"/>
      <c r="I12" s="1"/>
    </row>
    <row r="13" spans="2:33">
      <c r="B13">
        <v>8000</v>
      </c>
      <c r="C13" s="38">
        <v>615713</v>
      </c>
      <c r="D13" s="37">
        <v>45047</v>
      </c>
      <c r="E13" s="2">
        <f t="shared" si="0"/>
        <v>76.964124999999996</v>
      </c>
      <c r="F13" s="1">
        <f t="shared" si="1"/>
        <v>-2.2142284266780998E-2</v>
      </c>
      <c r="G13" s="22">
        <f t="shared" si="2"/>
        <v>0.977857715733219</v>
      </c>
      <c r="H13" s="1"/>
      <c r="I13" s="1"/>
    </row>
    <row r="14" spans="2:33">
      <c r="B14">
        <v>8000</v>
      </c>
      <c r="C14" s="38">
        <v>638413</v>
      </c>
      <c r="D14" s="59">
        <v>45078</v>
      </c>
      <c r="E14" s="2">
        <f t="shared" si="0"/>
        <v>79.801625000000001</v>
      </c>
      <c r="F14" s="1">
        <f t="shared" si="1"/>
        <v>3.6867826406134174E-2</v>
      </c>
      <c r="G14" s="22">
        <f>F14+1</f>
        <v>1.0368678264061342</v>
      </c>
      <c r="H14" s="1">
        <f>E14/E11-1</f>
        <v>-4.9018351903712176E-2</v>
      </c>
      <c r="I14" s="1">
        <f>E14/E8-1</f>
        <v>-0.1647919348592839</v>
      </c>
    </row>
    <row r="15" spans="2:33">
      <c r="B15">
        <v>8000</v>
      </c>
      <c r="C15" s="38">
        <v>696245</v>
      </c>
      <c r="D15" s="58">
        <v>45108</v>
      </c>
      <c r="E15" s="2">
        <f t="shared" si="0"/>
        <v>87.030625000000001</v>
      </c>
      <c r="F15" s="1">
        <f>E15/E14-1</f>
        <v>9.0587127768388065E-2</v>
      </c>
      <c r="G15" s="22">
        <f t="shared" ref="G15:G16" si="3">F15+1</f>
        <v>1.0905871277683881</v>
      </c>
      <c r="H15" s="1"/>
      <c r="I15" s="1"/>
    </row>
    <row r="16" spans="2:33">
      <c r="B16">
        <v>8000</v>
      </c>
      <c r="C16" s="38">
        <v>645317</v>
      </c>
      <c r="D16" s="37">
        <v>45139</v>
      </c>
      <c r="E16" s="2">
        <f t="shared" si="0"/>
        <v>80.664625000000001</v>
      </c>
      <c r="F16" s="1">
        <f t="shared" ref="F16" si="4">E16/E15-1</f>
        <v>-7.3146665326142335E-2</v>
      </c>
      <c r="G16" s="22">
        <f t="shared" si="3"/>
        <v>0.92685333467385767</v>
      </c>
      <c r="H16" s="1"/>
      <c r="I16" s="1"/>
    </row>
    <row r="17" spans="1:9">
      <c r="B17">
        <v>8000</v>
      </c>
      <c r="C17" s="38">
        <v>609314</v>
      </c>
      <c r="D17" s="59">
        <v>45170</v>
      </c>
      <c r="E17" s="2">
        <f t="shared" si="0"/>
        <v>76.164249999999996</v>
      </c>
      <c r="F17" s="1">
        <f>E17/E16-1</f>
        <v>-5.5791184797549187E-2</v>
      </c>
      <c r="G17" s="22">
        <f>F17+1</f>
        <v>0.94420881520245081</v>
      </c>
      <c r="H17" s="1">
        <f>E17/E14-1</f>
        <v>-4.5580212182396052E-2</v>
      </c>
      <c r="I17" s="1">
        <f>E17/E8-1</f>
        <v>-0.20286089568484622</v>
      </c>
    </row>
    <row r="18" spans="1:9">
      <c r="B18">
        <v>8000</v>
      </c>
      <c r="C18" s="38">
        <v>585753</v>
      </c>
      <c r="D18" s="58">
        <v>45200</v>
      </c>
      <c r="E18" s="2">
        <f t="shared" si="0"/>
        <v>73.219125000000005</v>
      </c>
      <c r="F18" s="1">
        <f t="shared" ref="F18:F37" si="5">E18/E17-1</f>
        <v>-3.8668075901751697E-2</v>
      </c>
      <c r="G18" s="22">
        <f t="shared" ref="G18:G25" si="6">F18+1</f>
        <v>0.9613319240982483</v>
      </c>
      <c r="H18" s="1"/>
      <c r="I18" s="1"/>
    </row>
    <row r="19" spans="1:9">
      <c r="B19">
        <v>8000</v>
      </c>
      <c r="C19" s="38">
        <v>545974</v>
      </c>
      <c r="D19" s="37">
        <v>45231</v>
      </c>
      <c r="E19" s="2">
        <f t="shared" si="0"/>
        <v>68.246750000000006</v>
      </c>
      <c r="F19" s="1">
        <f t="shared" si="5"/>
        <v>-6.7910877110317847E-2</v>
      </c>
      <c r="G19" s="22">
        <f t="shared" si="6"/>
        <v>0.93208912288968215</v>
      </c>
      <c r="H19" s="1"/>
      <c r="I19" s="1"/>
    </row>
    <row r="20" spans="1:9">
      <c r="B20">
        <v>8000</v>
      </c>
      <c r="C20" s="38">
        <v>630785</v>
      </c>
      <c r="D20" s="59">
        <v>45261</v>
      </c>
      <c r="E20" s="2">
        <f t="shared" si="0"/>
        <v>78.848124999999996</v>
      </c>
      <c r="F20" s="1">
        <f t="shared" si="5"/>
        <v>0.15533889892192643</v>
      </c>
      <c r="G20" s="22">
        <f t="shared" si="6"/>
        <v>1.1553388989219264</v>
      </c>
      <c r="H20" s="1">
        <f>E20/E17-1</f>
        <v>3.5237988951509314E-2</v>
      </c>
      <c r="I20" s="1">
        <f>E20/E8-1</f>
        <v>-0.17477131673417268</v>
      </c>
    </row>
    <row r="21" spans="1:9">
      <c r="B21">
        <v>8000</v>
      </c>
      <c r="C21" s="38">
        <v>606777</v>
      </c>
      <c r="D21" s="58">
        <v>45292</v>
      </c>
      <c r="E21" s="2">
        <f t="shared" si="0"/>
        <v>75.847125000000005</v>
      </c>
      <c r="F21" s="1">
        <f t="shared" si="5"/>
        <v>-3.8060511901836458E-2</v>
      </c>
      <c r="G21" s="22">
        <f t="shared" si="6"/>
        <v>0.96193948809816354</v>
      </c>
      <c r="H21" s="1"/>
      <c r="I21" s="1"/>
    </row>
    <row r="22" spans="1:9">
      <c r="B22">
        <v>8000</v>
      </c>
      <c r="C22" s="38">
        <v>811963</v>
      </c>
      <c r="D22" s="37">
        <v>45323</v>
      </c>
      <c r="E22" s="2">
        <f t="shared" si="0"/>
        <v>101.495375</v>
      </c>
      <c r="F22" s="1">
        <f t="shared" si="5"/>
        <v>0.33815718130383954</v>
      </c>
      <c r="G22" s="22">
        <f t="shared" si="6"/>
        <v>1.3381571813038395</v>
      </c>
      <c r="H22" s="1"/>
      <c r="I22" s="1"/>
    </row>
    <row r="23" spans="1:9">
      <c r="B23">
        <v>8000</v>
      </c>
      <c r="C23" s="38">
        <v>610304</v>
      </c>
      <c r="D23" s="59">
        <v>45352</v>
      </c>
      <c r="E23" s="2">
        <f t="shared" si="0"/>
        <v>76.287999999999997</v>
      </c>
      <c r="F23" s="1">
        <f t="shared" si="5"/>
        <v>-0.24835983905670578</v>
      </c>
      <c r="G23" s="22">
        <f t="shared" si="6"/>
        <v>0.75164016094329422</v>
      </c>
      <c r="H23" s="1">
        <f>E23/E20-1</f>
        <v>-3.2469066322122431E-2</v>
      </c>
      <c r="I23" s="1">
        <f>E23/E20-1</f>
        <v>-3.2469066322122431E-2</v>
      </c>
    </row>
    <row r="24" spans="1:9">
      <c r="B24">
        <v>8000</v>
      </c>
      <c r="C24" s="68">
        <v>571946</v>
      </c>
      <c r="D24" s="58">
        <v>45383</v>
      </c>
      <c r="E24" s="2">
        <f t="shared" si="0"/>
        <v>71.493250000000003</v>
      </c>
      <c r="F24" s="1">
        <f t="shared" si="5"/>
        <v>-6.2850644924496546E-2</v>
      </c>
      <c r="G24" s="22">
        <f t="shared" si="6"/>
        <v>0.93714935507550345</v>
      </c>
      <c r="H24" s="1"/>
      <c r="I24" s="1"/>
    </row>
    <row r="25" spans="1:9">
      <c r="B25">
        <v>8000</v>
      </c>
      <c r="C25" s="38">
        <v>619522</v>
      </c>
      <c r="D25" s="37">
        <v>45413</v>
      </c>
      <c r="E25" s="2">
        <f t="shared" si="0"/>
        <v>77.440250000000006</v>
      </c>
      <c r="F25" s="1">
        <f t="shared" si="5"/>
        <v>8.3182678084994022E-2</v>
      </c>
      <c r="G25" s="22">
        <f t="shared" si="6"/>
        <v>1.083182678084994</v>
      </c>
      <c r="H25" s="1"/>
      <c r="I25" s="1"/>
    </row>
    <row r="26" spans="1:9">
      <c r="A26" s="70"/>
      <c r="B26">
        <v>8000</v>
      </c>
      <c r="C26" s="38">
        <v>543102</v>
      </c>
      <c r="D26" s="59">
        <v>45444</v>
      </c>
      <c r="E26" s="2">
        <f t="shared" si="0"/>
        <v>67.887749999999997</v>
      </c>
      <c r="F26" s="1">
        <f t="shared" si="5"/>
        <v>-0.12335316582784805</v>
      </c>
      <c r="G26" s="22">
        <f>F26+1</f>
        <v>0.87664683417215195</v>
      </c>
      <c r="H26" s="1">
        <f>E26/E23-1</f>
        <v>-0.11011233745805371</v>
      </c>
      <c r="I26" s="1">
        <f>E26/$E$20-1</f>
        <v>-0.13900615899236668</v>
      </c>
    </row>
    <row r="27" spans="1:9">
      <c r="A27" s="70"/>
      <c r="B27">
        <v>8000</v>
      </c>
      <c r="C27" s="38">
        <v>546043</v>
      </c>
      <c r="D27" s="58">
        <v>45474</v>
      </c>
      <c r="E27" s="2">
        <f t="shared" si="0"/>
        <v>68.255375000000001</v>
      </c>
      <c r="F27" s="1">
        <f t="shared" si="5"/>
        <v>5.4151890436788808E-3</v>
      </c>
      <c r="G27" s="22">
        <f>F27+1</f>
        <v>1.0054151890436789</v>
      </c>
      <c r="H27" s="1"/>
      <c r="I27" s="1"/>
    </row>
    <row r="28" spans="1:9">
      <c r="A28" s="70" t="s">
        <v>54</v>
      </c>
      <c r="B28">
        <v>7840</v>
      </c>
      <c r="C28" s="38">
        <f>461939.66</f>
        <v>461939.66</v>
      </c>
      <c r="D28" s="37">
        <v>45505</v>
      </c>
      <c r="E28" s="2">
        <f t="shared" si="0"/>
        <v>58.920874999999995</v>
      </c>
      <c r="F28" s="1">
        <f t="shared" si="5"/>
        <v>-0.13675846041428985</v>
      </c>
      <c r="G28" s="22">
        <f>F28+1</f>
        <v>0.86324153958571015</v>
      </c>
      <c r="H28" s="1"/>
      <c r="I28" s="1"/>
    </row>
    <row r="29" spans="1:9">
      <c r="A29" s="70"/>
      <c r="B29">
        <v>7683.2</v>
      </c>
      <c r="C29" s="38">
        <f>425921.08</f>
        <v>425921.08</v>
      </c>
      <c r="D29" s="76">
        <v>45536</v>
      </c>
      <c r="E29" s="2">
        <f t="shared" si="0"/>
        <v>55.435375885047897</v>
      </c>
      <c r="F29" s="1">
        <f t="shared" si="5"/>
        <v>-5.9155589847436851E-2</v>
      </c>
      <c r="G29" s="22">
        <f>F29+1</f>
        <v>0.94084441015256315</v>
      </c>
      <c r="H29" s="1">
        <f>E29/E26-1</f>
        <v>-0.18342593641639471</v>
      </c>
      <c r="I29" s="1">
        <f>E29/$E$20-1</f>
        <v>-0.29693476052794032</v>
      </c>
    </row>
    <row r="30" spans="1:9">
      <c r="A30" s="70"/>
      <c r="B30">
        <v>7529.5360000000001</v>
      </c>
      <c r="C30" s="38">
        <v>395178.29</v>
      </c>
      <c r="D30" s="37">
        <v>45566</v>
      </c>
      <c r="E30" s="2">
        <f t="shared" si="0"/>
        <v>52.483750658739126</v>
      </c>
      <c r="F30" s="1">
        <f t="shared" si="5"/>
        <v>-5.3244434247714523E-2</v>
      </c>
      <c r="G30" s="22">
        <f t="shared" ref="G30:G37" si="7">F30+1</f>
        <v>0.94675556575228548</v>
      </c>
      <c r="H30" s="1"/>
      <c r="I30" s="1"/>
    </row>
    <row r="31" spans="1:9">
      <c r="A31" s="70"/>
      <c r="B31">
        <v>7416.5929999999998</v>
      </c>
      <c r="C31" s="38">
        <v>521850.03</v>
      </c>
      <c r="D31" s="37">
        <v>45597</v>
      </c>
      <c r="E31" s="2">
        <f t="shared" si="0"/>
        <v>70.362500679220233</v>
      </c>
      <c r="F31" s="1">
        <f t="shared" si="5"/>
        <v>0.3406530553948528</v>
      </c>
      <c r="G31" s="22">
        <f t="shared" si="7"/>
        <v>1.3406530553948528</v>
      </c>
      <c r="H31" s="1"/>
      <c r="I31" s="1"/>
    </row>
    <row r="32" spans="1:9">
      <c r="A32" s="70"/>
      <c r="B32">
        <v>7327.5940000000001</v>
      </c>
      <c r="C32" s="38">
        <v>560847.63</v>
      </c>
      <c r="D32" s="76">
        <v>45627</v>
      </c>
      <c r="E32" s="2">
        <f t="shared" si="0"/>
        <v>76.539124574860452</v>
      </c>
      <c r="F32" s="1">
        <f t="shared" si="5"/>
        <v>8.7782893388044902E-2</v>
      </c>
      <c r="G32" s="22">
        <f t="shared" si="7"/>
        <v>1.0877828933880449</v>
      </c>
      <c r="H32" s="1">
        <f>E32/E29-1</f>
        <v>0.38069100015798196</v>
      </c>
      <c r="I32" s="1">
        <f>E32/$E$20-1</f>
        <v>-2.9284151337010789E-2</v>
      </c>
    </row>
    <row r="33" spans="1:9">
      <c r="A33" s="70"/>
      <c r="B33">
        <v>7254.3180000000002</v>
      </c>
      <c r="C33" s="38">
        <v>445031.56</v>
      </c>
      <c r="D33" s="37">
        <v>45658</v>
      </c>
      <c r="E33" s="2">
        <f t="shared" si="0"/>
        <v>61.347125946229539</v>
      </c>
      <c r="F33" s="1">
        <f t="shared" si="5"/>
        <v>-0.19848670484559972</v>
      </c>
      <c r="G33" s="22">
        <f t="shared" si="7"/>
        <v>0.80151329515440028</v>
      </c>
      <c r="H33" s="1"/>
      <c r="I33" s="1"/>
    </row>
    <row r="34" spans="1:9">
      <c r="A34" s="70"/>
      <c r="B34">
        <v>7254.3180000000002</v>
      </c>
      <c r="C34" s="38">
        <v>400034.83</v>
      </c>
      <c r="D34" s="37">
        <v>45689</v>
      </c>
      <c r="E34" s="2">
        <f t="shared" si="0"/>
        <v>55.144374702073996</v>
      </c>
      <c r="F34" s="1">
        <f t="shared" si="5"/>
        <v>-0.10110907639898603</v>
      </c>
      <c r="G34" s="22">
        <f t="shared" si="7"/>
        <v>0.89889092360101397</v>
      </c>
      <c r="H34" s="1"/>
      <c r="I34" s="1"/>
    </row>
    <row r="35" spans="1:9">
      <c r="B35">
        <v>7254.3180000000002</v>
      </c>
      <c r="C35" s="38">
        <v>369242.07</v>
      </c>
      <c r="D35" s="76">
        <v>45717</v>
      </c>
      <c r="E35" s="2">
        <f t="shared" si="0"/>
        <v>50.899625574726663</v>
      </c>
      <c r="F35" s="1">
        <f t="shared" si="5"/>
        <v>-7.6975197384687832E-2</v>
      </c>
      <c r="G35" s="22">
        <f t="shared" si="7"/>
        <v>0.92302480261531217</v>
      </c>
      <c r="H35" s="1">
        <f>E35/E32-1</f>
        <v>-0.33498552723916541</v>
      </c>
      <c r="I35" s="1">
        <f>E35/$E$32-1</f>
        <v>-0.33498552723916541</v>
      </c>
    </row>
    <row r="36" spans="1:9">
      <c r="B36" s="78">
        <v>7254.3180000000002</v>
      </c>
      <c r="C36" s="38">
        <v>324966.24</v>
      </c>
      <c r="D36" s="77">
        <v>45748</v>
      </c>
      <c r="E36" s="2">
        <f t="shared" si="0"/>
        <v>44.796249626774006</v>
      </c>
      <c r="F36" s="1">
        <f t="shared" si="5"/>
        <v>-0.11991003625345298</v>
      </c>
      <c r="G36" s="22">
        <f t="shared" si="7"/>
        <v>0.88008996374654702</v>
      </c>
    </row>
    <row r="37" spans="1:9">
      <c r="B37" s="78">
        <v>7254.3180000000002</v>
      </c>
      <c r="C37" s="38">
        <v>487550.92</v>
      </c>
      <c r="D37" s="37">
        <v>45778</v>
      </c>
      <c r="E37" s="2">
        <f t="shared" si="0"/>
        <v>67.208374377853303</v>
      </c>
      <c r="F37" s="1">
        <f t="shared" si="5"/>
        <v>0.50031252477180432</v>
      </c>
      <c r="G37" s="22">
        <f t="shared" si="7"/>
        <v>1.5003125247718043</v>
      </c>
      <c r="H37" s="1"/>
      <c r="I37" s="1"/>
    </row>
    <row r="38" spans="1:9">
      <c r="B38" s="78">
        <v>7254.3180000000002</v>
      </c>
      <c r="C38" s="38">
        <v>420944.5</v>
      </c>
      <c r="D38" s="76">
        <v>45809</v>
      </c>
      <c r="E38" s="2">
        <f t="shared" si="0"/>
        <v>58.026750412650777</v>
      </c>
      <c r="F38" s="1">
        <f>E38/E37-1</f>
        <v>-0.13661428430901135</v>
      </c>
      <c r="G38" s="22">
        <f>F38+1</f>
        <v>0.86338571569098865</v>
      </c>
      <c r="H38" s="1">
        <f>E38/E35-1</f>
        <v>0.14002312900044123</v>
      </c>
      <c r="I38" s="1">
        <f>E38/$E$32-1</f>
        <v>-0.24186811993261459</v>
      </c>
    </row>
    <row r="39" spans="1:9">
      <c r="B39" s="78">
        <v>2720.3690000000001</v>
      </c>
      <c r="C39" s="38">
        <v>139729.04</v>
      </c>
      <c r="D39" s="77">
        <v>45839</v>
      </c>
      <c r="E39" s="2">
        <f t="shared" si="0"/>
        <v>51.364002457019616</v>
      </c>
      <c r="F39" s="1">
        <f t="shared" ref="F39:F40" si="8">E39/E38-1</f>
        <v>-0.11482200723372882</v>
      </c>
      <c r="G39" s="22">
        <f t="shared" ref="G39:G43" si="9">F39+1</f>
        <v>0.88517799276627118</v>
      </c>
      <c r="H39" s="1"/>
      <c r="I39" s="1"/>
    </row>
    <row r="40" spans="1:9">
      <c r="B40" s="78">
        <v>2720.3690000000001</v>
      </c>
      <c r="C40" s="38">
        <v>128398.7</v>
      </c>
      <c r="D40" s="77">
        <v>45870</v>
      </c>
      <c r="E40" s="2">
        <f t="shared" si="0"/>
        <v>47.199001311954369</v>
      </c>
      <c r="F40" s="1">
        <f t="shared" si="8"/>
        <v>-8.1087939915711171E-2</v>
      </c>
      <c r="G40" s="22">
        <f t="shared" si="9"/>
        <v>0.91891206008428883</v>
      </c>
      <c r="H40" s="1"/>
      <c r="I40" s="1"/>
    </row>
    <row r="41" spans="1:9">
      <c r="B41" s="78">
        <v>2720.3690000000001</v>
      </c>
      <c r="C41" s="38">
        <v>190118.44</v>
      </c>
      <c r="D41" s="76">
        <v>45901</v>
      </c>
      <c r="E41" s="2">
        <f t="shared" si="0"/>
        <v>69.887004299784323</v>
      </c>
      <c r="F41" s="1">
        <f>E41/E40-1</f>
        <v>0.48068820011417546</v>
      </c>
      <c r="G41" s="22">
        <f t="shared" si="9"/>
        <v>1.4806882001141755</v>
      </c>
      <c r="H41" s="1">
        <f>E41/E38-1</f>
        <v>0.20439286713094695</v>
      </c>
      <c r="I41" s="1">
        <f>E41/$E$32-1</f>
        <v>-8.691137130226656E-2</v>
      </c>
    </row>
    <row r="42" spans="1:9">
      <c r="B42" s="78">
        <v>2720.3690000000001</v>
      </c>
      <c r="C42" s="38">
        <v>223151.88</v>
      </c>
      <c r="D42" s="77">
        <v>45931</v>
      </c>
      <c r="E42" s="2">
        <f t="shared" si="0"/>
        <v>82.030004017837285</v>
      </c>
      <c r="F42" s="1">
        <f t="shared" ref="F42" si="10">E42/E41-1</f>
        <v>0.17375189907933186</v>
      </c>
      <c r="G42" s="22">
        <f t="shared" si="9"/>
        <v>1.1737518990793319</v>
      </c>
      <c r="H42" s="1"/>
      <c r="I42" s="1"/>
    </row>
    <row r="43" spans="1:9">
      <c r="B43" s="78">
        <v>2720.3690000000001</v>
      </c>
      <c r="C43" s="38">
        <v>240113.38</v>
      </c>
      <c r="D43" s="77">
        <v>45962</v>
      </c>
      <c r="E43" s="2">
        <f t="shared" si="0"/>
        <v>88.265003755005296</v>
      </c>
      <c r="F43" s="1">
        <f>E43/E42-1</f>
        <v>7.6008770349593302E-2</v>
      </c>
      <c r="G43" s="22">
        <f t="shared" si="9"/>
        <v>1.0760087703495933</v>
      </c>
      <c r="H43" s="1"/>
      <c r="I43" s="1"/>
    </row>
    <row r="44" spans="1:9">
      <c r="B44" s="78">
        <v>2720.3690000000001</v>
      </c>
      <c r="C44" s="38">
        <v>250978.54</v>
      </c>
      <c r="D44" s="76">
        <v>45992</v>
      </c>
      <c r="E44" s="2">
        <f>C44/B44</f>
        <v>92.259006039254231</v>
      </c>
      <c r="F44" s="1">
        <f>E44/E43-1</f>
        <v>4.5250123087684724E-2</v>
      </c>
      <c r="G44" s="22">
        <f>F44+1</f>
        <v>1.0452501230876847</v>
      </c>
      <c r="H44" s="1">
        <f>E44/E41-1</f>
        <v>0.32011676510705644</v>
      </c>
      <c r="I44" s="1">
        <f t="shared" ref="I44" si="11">E44/$E$32-1</f>
        <v>0.20538360677249012</v>
      </c>
    </row>
    <row r="45" spans="1:9">
      <c r="B45" s="78">
        <v>2720.3690000000001</v>
      </c>
      <c r="C45" s="38">
        <v>246511.69</v>
      </c>
      <c r="D45" s="58">
        <v>46023</v>
      </c>
      <c r="E45" s="2">
        <f t="shared" ref="E45:E47" si="12">C45/B45</f>
        <v>90.617004531370554</v>
      </c>
      <c r="F45" s="1">
        <f t="shared" ref="F45:F47" si="13">E45/E44-1</f>
        <v>-1.7797736810485909E-2</v>
      </c>
      <c r="G45" s="22">
        <f t="shared" ref="G45:G47" si="14">F45+1</f>
        <v>0.98220226318951409</v>
      </c>
      <c r="H45" s="1"/>
      <c r="I45" s="1"/>
    </row>
    <row r="46" spans="1:9">
      <c r="B46" s="78">
        <v>2720.3690000000001</v>
      </c>
      <c r="C46" s="38">
        <v>246761.96</v>
      </c>
      <c r="D46" s="37">
        <v>46054</v>
      </c>
      <c r="E46" s="2">
        <f t="shared" si="12"/>
        <v>90.709003080096849</v>
      </c>
      <c r="F46" s="1">
        <f t="shared" si="13"/>
        <v>1.0152459706880279E-3</v>
      </c>
      <c r="G46" s="22">
        <f t="shared" si="14"/>
        <v>1.001015245970688</v>
      </c>
      <c r="H46" s="1"/>
      <c r="I46" s="1"/>
    </row>
    <row r="47" spans="1:9">
      <c r="B47" s="78">
        <v>2720.3690000000001</v>
      </c>
      <c r="C47" s="38">
        <v>210227.41</v>
      </c>
      <c r="D47" s="59">
        <v>46082</v>
      </c>
      <c r="E47" s="2">
        <f t="shared" si="12"/>
        <v>77.279005164372919</v>
      </c>
      <c r="F47" s="1">
        <f t="shared" si="13"/>
        <v>-0.14805584296704399</v>
      </c>
      <c r="G47" s="22">
        <f t="shared" si="14"/>
        <v>0.85194415703295601</v>
      </c>
      <c r="H47" s="1">
        <f>E47/E44-1</f>
        <v>-0.1623689818260956</v>
      </c>
      <c r="I47" s="1">
        <f>E47/$E$44-1</f>
        <v>-0.1623689818260956</v>
      </c>
    </row>
    <row r="48" spans="1:9">
      <c r="B48" s="78"/>
      <c r="C48" s="38"/>
      <c r="D48" s="58">
        <v>46113</v>
      </c>
      <c r="E48" s="2"/>
      <c r="F48" s="1"/>
      <c r="G48" s="22"/>
      <c r="H48" s="1"/>
      <c r="I48" s="1"/>
    </row>
    <row r="49" spans="2:19">
      <c r="B49" s="78"/>
      <c r="C49" s="38"/>
      <c r="D49" s="37">
        <v>46143</v>
      </c>
      <c r="E49" s="2"/>
      <c r="F49" s="1"/>
      <c r="G49" s="22"/>
      <c r="H49" s="1"/>
      <c r="I49" s="1"/>
    </row>
    <row r="50" spans="2:19">
      <c r="B50" s="78"/>
      <c r="C50" s="38"/>
      <c r="D50" s="59">
        <v>46174</v>
      </c>
      <c r="E50" s="2"/>
      <c r="F50" s="1"/>
      <c r="G50" s="22"/>
      <c r="H50" s="1"/>
      <c r="I50" s="1"/>
    </row>
    <row r="51" spans="2:19" ht="16.8" thickBot="1">
      <c r="C51" s="38"/>
      <c r="D51" s="58"/>
      <c r="F51" s="27"/>
      <c r="I51" s="1"/>
    </row>
    <row r="52" spans="2:19">
      <c r="C52" s="38"/>
      <c r="E52" s="82" t="s">
        <v>4</v>
      </c>
      <c r="F52" s="83"/>
    </row>
    <row r="53" spans="2:19">
      <c r="C53" s="38"/>
      <c r="E53" s="84"/>
      <c r="F53" s="85"/>
      <c r="H53" s="1"/>
    </row>
    <row r="54" spans="2:19">
      <c r="C54" s="38"/>
      <c r="E54" s="14" t="s">
        <v>6</v>
      </c>
      <c r="F54" s="23">
        <v>44749</v>
      </c>
      <c r="H54" s="66"/>
    </row>
    <row r="55" spans="2:19">
      <c r="C55" s="38"/>
      <c r="E55" s="14" t="s">
        <v>7</v>
      </c>
      <c r="F55" s="23">
        <v>46112</v>
      </c>
      <c r="H55" s="66"/>
    </row>
    <row r="56" spans="2:19">
      <c r="C56" s="38"/>
      <c r="E56" s="61" t="s">
        <v>1</v>
      </c>
      <c r="F56" s="4">
        <f>(E47-100)/100</f>
        <v>-0.22720994835627081</v>
      </c>
      <c r="G56" s="64" t="str">
        <f ca="1">_xlfn.FORMULATEXT(F56)</f>
        <v>=(E47-100)/100</v>
      </c>
      <c r="P56" s="12"/>
      <c r="Q56" s="19"/>
      <c r="S56" s="29"/>
    </row>
    <row r="57" spans="2:19">
      <c r="E57" s="62" t="s">
        <v>2</v>
      </c>
      <c r="F57" s="4">
        <f>(E47-E44)/E44</f>
        <v>-0.16236898182609558</v>
      </c>
      <c r="G57" s="64" t="str">
        <f t="shared" ref="G57:G71" ca="1" si="15">_xlfn.FORMULATEXT(F57)</f>
        <v>=(E47-E44)/E44</v>
      </c>
      <c r="P57" s="12"/>
      <c r="Q57" s="19"/>
    </row>
    <row r="58" spans="2:19">
      <c r="E58" s="62" t="s">
        <v>36</v>
      </c>
      <c r="F58" s="4">
        <f>STDEVA(F3:F47)</f>
        <v>0.15565486859606537</v>
      </c>
      <c r="G58" s="64" t="str">
        <f t="shared" ca="1" si="15"/>
        <v>=STDEVA(F3:F47)</v>
      </c>
      <c r="J58" s="73" t="s">
        <v>9</v>
      </c>
      <c r="K58" t="s">
        <v>42</v>
      </c>
      <c r="P58" s="30" t="s">
        <v>32</v>
      </c>
      <c r="Q58" s="47">
        <f>F56</f>
        <v>-0.22720994835627081</v>
      </c>
    </row>
    <row r="59" spans="2:19">
      <c r="E59" s="62" t="s">
        <v>35</v>
      </c>
      <c r="F59" s="4">
        <f>STDEVA(F36:F47)</f>
        <v>0.22528094253295505</v>
      </c>
      <c r="G59" s="64" t="str">
        <f t="shared" ca="1" si="15"/>
        <v>=STDEVA(F36:F47)</v>
      </c>
      <c r="J59" s="80">
        <f>AVERAGE(K61:K72)</f>
        <v>4.2309416666666673</v>
      </c>
      <c r="M59" s="13"/>
      <c r="P59" s="29" t="s">
        <v>33</v>
      </c>
      <c r="Q59" s="47">
        <f>F57</f>
        <v>-0.16236898182609558</v>
      </c>
    </row>
    <row r="60" spans="2:19">
      <c r="C60" s="6"/>
      <c r="E60" s="62" t="s">
        <v>13</v>
      </c>
      <c r="F60" s="7">
        <f>F55-F54</f>
        <v>1363</v>
      </c>
      <c r="G60" t="str">
        <f ca="1">_xlfn.FORMULATEXT(F60)</f>
        <v>=F55-F54</v>
      </c>
      <c r="J60" s="5" t="s">
        <v>10</v>
      </c>
      <c r="K60" s="65" t="s">
        <v>48</v>
      </c>
      <c r="L60" s="5"/>
      <c r="M60" s="13"/>
      <c r="P60" s="30" t="s">
        <v>20</v>
      </c>
      <c r="Q60" s="47">
        <f>F61</f>
        <v>-6.642386917348142E-2</v>
      </c>
    </row>
    <row r="61" spans="2:19">
      <c r="E61" s="62" t="s">
        <v>12</v>
      </c>
      <c r="F61" s="4">
        <f>(PRODUCT(G3:G47))^(12/COUNT(G3:G47))-1</f>
        <v>-6.642386917348142E-2</v>
      </c>
      <c r="G61" s="64" t="str">
        <f t="shared" ca="1" si="15"/>
        <v>=(PRODUCT(G3:G47))^(12/COUNT(G3:G47))-1</v>
      </c>
      <c r="J61" s="86">
        <v>46203</v>
      </c>
      <c r="K61">
        <v>4.4652000000000003</v>
      </c>
      <c r="P61" s="29" t="s">
        <v>45</v>
      </c>
      <c r="Q61" s="48">
        <f>F70</f>
        <v>0.37777777777777777</v>
      </c>
    </row>
    <row r="62" spans="2:19">
      <c r="E62" s="62" t="s">
        <v>47</v>
      </c>
      <c r="F62" s="8">
        <f>MAX(F3:F47)</f>
        <v>0.50031252477180432</v>
      </c>
      <c r="G62" s="64" t="str">
        <f t="shared" ca="1" si="15"/>
        <v>=MAX(F3:F47)</v>
      </c>
      <c r="J62" s="86">
        <v>46171</v>
      </c>
      <c r="K62">
        <v>4.4355000000000002</v>
      </c>
      <c r="P62" s="30" t="s">
        <v>43</v>
      </c>
      <c r="Q62" s="48">
        <f>F71</f>
        <v>0.62222222222222223</v>
      </c>
    </row>
    <row r="63" spans="2:19">
      <c r="E63" s="62" t="s">
        <v>44</v>
      </c>
      <c r="F63" s="8">
        <f>MIN(F3:F47)</f>
        <v>-0.24835983905670578</v>
      </c>
      <c r="G63" s="64" t="str">
        <f t="shared" ca="1" si="15"/>
        <v>=MIN(F3:F47)</v>
      </c>
      <c r="J63" s="86">
        <v>46142</v>
      </c>
      <c r="K63">
        <v>4.3705999999999996</v>
      </c>
      <c r="P63" s="29" t="s">
        <v>21</v>
      </c>
      <c r="Q63" s="47">
        <f>F64</f>
        <v>0.53920428170768497</v>
      </c>
    </row>
    <row r="64" spans="2:19">
      <c r="E64" s="62" t="s">
        <v>17</v>
      </c>
      <c r="F64" s="4">
        <f>F58*SQRT(12)</f>
        <v>0.53920428170768497</v>
      </c>
      <c r="G64" t="str">
        <f ca="1">_xlfn.FORMULATEXT(F64)</f>
        <v>=F58*SQRT(12)</v>
      </c>
      <c r="J64" s="81">
        <v>46112</v>
      </c>
      <c r="K64">
        <v>4.3166000000000002</v>
      </c>
      <c r="M64" s="13"/>
      <c r="P64" s="30" t="s">
        <v>22</v>
      </c>
      <c r="Q64" s="49">
        <f>F67</f>
        <v>-0.20165508607569796</v>
      </c>
    </row>
    <row r="65" spans="5:17">
      <c r="E65" s="62" t="s">
        <v>18</v>
      </c>
      <c r="F65" s="4">
        <f>F59*SQRT(12)</f>
        <v>0.78039607688816526</v>
      </c>
      <c r="G65" t="str">
        <f t="shared" ca="1" si="15"/>
        <v>=F59*SQRT(12)</v>
      </c>
      <c r="J65" s="81">
        <v>46080</v>
      </c>
      <c r="K65">
        <v>3.9375</v>
      </c>
      <c r="L65" s="5"/>
      <c r="M65" s="13"/>
      <c r="P65" s="29"/>
      <c r="Q65" s="35"/>
    </row>
    <row r="66" spans="5:17">
      <c r="E66" s="71" t="s">
        <v>5</v>
      </c>
      <c r="F66" s="74">
        <f>J59/100</f>
        <v>4.2309416666666676E-2</v>
      </c>
      <c r="G66" t="str">
        <f t="shared" ca="1" si="15"/>
        <v>=J59/100</v>
      </c>
      <c r="J66" s="81">
        <v>46052</v>
      </c>
      <c r="K66">
        <v>4.2355</v>
      </c>
      <c r="L66" s="5"/>
      <c r="M66" s="13"/>
      <c r="Q66" s="46"/>
    </row>
    <row r="67" spans="5:17">
      <c r="E67" s="71" t="s">
        <v>3</v>
      </c>
      <c r="F67" s="72">
        <f>(F61-F66)/F64</f>
        <v>-0.20165508607569796</v>
      </c>
      <c r="G67" t="str">
        <f t="shared" ca="1" si="15"/>
        <v>=(F61-F66)/F64</v>
      </c>
      <c r="J67" s="79">
        <v>46022</v>
      </c>
      <c r="K67">
        <v>4.1669999999999998</v>
      </c>
      <c r="L67" s="5"/>
      <c r="M67" s="13"/>
      <c r="P67" s="12"/>
      <c r="Q67" s="19"/>
    </row>
    <row r="68" spans="5:17">
      <c r="E68" s="62" t="s">
        <v>19</v>
      </c>
      <c r="F68" s="4">
        <f>E36/E32-1</f>
        <v>-0.41472743677698798</v>
      </c>
      <c r="G68" s="64" t="str">
        <f t="shared" ca="1" si="15"/>
        <v>=E36/E32-1</v>
      </c>
      <c r="J68" s="13">
        <v>45989</v>
      </c>
      <c r="K68">
        <v>4.0132000000000003</v>
      </c>
      <c r="L68" s="5"/>
      <c r="M68" s="13"/>
    </row>
    <row r="69" spans="5:17">
      <c r="E69" s="62" t="s">
        <v>14</v>
      </c>
      <c r="F69" s="7">
        <f>COUNT(F3:F47)</f>
        <v>45</v>
      </c>
      <c r="G69" s="64" t="str">
        <f t="shared" ca="1" si="15"/>
        <v>=COUNT(F3:F47)</v>
      </c>
      <c r="J69" s="79">
        <v>45961</v>
      </c>
      <c r="K69">
        <v>4.0774999999999997</v>
      </c>
      <c r="L69" s="5"/>
      <c r="M69" s="13"/>
    </row>
    <row r="70" spans="5:17">
      <c r="E70" s="62" t="s">
        <v>15</v>
      </c>
      <c r="F70" s="51">
        <f>COUNTIF(F3:F47,"&gt;0")/F69</f>
        <v>0.37777777777777777</v>
      </c>
      <c r="G70" s="64" t="str">
        <f t="shared" ca="1" si="15"/>
        <v>=COUNTIF(F3:F47,"&gt;0")/F69</v>
      </c>
      <c r="J70" s="79">
        <v>45930</v>
      </c>
      <c r="K70">
        <v>4.1502999999999997</v>
      </c>
      <c r="L70" s="5"/>
      <c r="M70" s="13"/>
    </row>
    <row r="71" spans="5:17" ht="16.8" thickBot="1">
      <c r="E71" s="63" t="s">
        <v>16</v>
      </c>
      <c r="F71" s="53">
        <f>COUNTIF(F3:F47,"&lt;0")/F69</f>
        <v>0.62222222222222223</v>
      </c>
      <c r="G71" s="64" t="str">
        <f t="shared" ca="1" si="15"/>
        <v>=COUNTIF(F3:F47,"&lt;0")/F69</v>
      </c>
      <c r="J71" s="13">
        <v>45898</v>
      </c>
      <c r="K71">
        <v>4.2283999999999997</v>
      </c>
      <c r="L71" s="5"/>
      <c r="M71" s="13"/>
    </row>
    <row r="72" spans="5:17">
      <c r="J72" s="79">
        <v>45868</v>
      </c>
      <c r="K72">
        <v>4.3739999999999997</v>
      </c>
      <c r="L72" s="5"/>
      <c r="M72" s="13"/>
    </row>
    <row r="73" spans="5:17">
      <c r="J73" s="13">
        <v>45838</v>
      </c>
      <c r="K73">
        <v>4.2279999999999998</v>
      </c>
      <c r="L73" s="5"/>
      <c r="M73" s="13"/>
    </row>
    <row r="74" spans="5:17">
      <c r="J74" s="13">
        <v>45807</v>
      </c>
      <c r="K74">
        <v>4.4004000000000003</v>
      </c>
      <c r="L74" s="5"/>
      <c r="M74" s="13"/>
    </row>
    <row r="75" spans="5:17">
      <c r="J75" s="79">
        <v>45777</v>
      </c>
      <c r="K75">
        <v>4.1619000000000002</v>
      </c>
      <c r="L75" s="5"/>
      <c r="M75" s="13"/>
    </row>
    <row r="76" spans="5:17">
      <c r="J76" s="13">
        <v>45747</v>
      </c>
      <c r="K76" s="65">
        <v>4.2053000000000003</v>
      </c>
      <c r="L76" s="5"/>
      <c r="M76" s="13"/>
    </row>
    <row r="77" spans="5:17">
      <c r="J77" s="13">
        <v>45716</v>
      </c>
      <c r="K77" s="65">
        <v>4.2081999999999997</v>
      </c>
      <c r="M77" s="13"/>
    </row>
    <row r="78" spans="5:17">
      <c r="J78" s="13">
        <v>45688</v>
      </c>
      <c r="K78" s="65">
        <v>4.5387000000000004</v>
      </c>
      <c r="M78" s="13"/>
    </row>
    <row r="79" spans="5:17">
      <c r="J79" s="13">
        <v>45657</v>
      </c>
      <c r="K79" s="65">
        <v>4.569</v>
      </c>
      <c r="M79" s="13"/>
    </row>
    <row r="80" spans="5:17">
      <c r="J80" s="13">
        <v>45625</v>
      </c>
      <c r="K80" s="65">
        <v>4.1684999999999999</v>
      </c>
      <c r="M80" s="13"/>
    </row>
    <row r="81" spans="10:13">
      <c r="J81" s="13">
        <v>45596</v>
      </c>
      <c r="K81" s="65">
        <v>4.2843999999999998</v>
      </c>
      <c r="M81" s="13"/>
    </row>
    <row r="82" spans="10:13">
      <c r="J82" s="13">
        <v>45565</v>
      </c>
      <c r="K82" s="65">
        <v>3.7808999999999999</v>
      </c>
      <c r="M82" s="13"/>
    </row>
    <row r="83" spans="10:13">
      <c r="J83" s="13">
        <v>45534</v>
      </c>
      <c r="K83">
        <v>3.9034</v>
      </c>
    </row>
    <row r="84" spans="10:13">
      <c r="J84" s="13">
        <v>45504</v>
      </c>
      <c r="K84">
        <v>4.0296000000000003</v>
      </c>
    </row>
    <row r="85" spans="10:13">
      <c r="J85" s="13">
        <v>45471</v>
      </c>
      <c r="K85">
        <v>4.3960999999999997</v>
      </c>
    </row>
    <row r="86" spans="10:13">
      <c r="J86" s="13">
        <v>45443</v>
      </c>
      <c r="K86">
        <v>4.4984999999999999</v>
      </c>
    </row>
    <row r="87" spans="10:13">
      <c r="J87" s="13">
        <v>45412</v>
      </c>
      <c r="K87">
        <v>4.6798000000000002</v>
      </c>
    </row>
    <row r="88" spans="10:13">
      <c r="J88" s="13">
        <v>45380</v>
      </c>
      <c r="K88">
        <v>4.2003000000000004</v>
      </c>
    </row>
    <row r="89" spans="10:13">
      <c r="J89" s="13">
        <v>45351</v>
      </c>
      <c r="K89">
        <v>4.2502000000000004</v>
      </c>
    </row>
    <row r="90" spans="10:13">
      <c r="J90" s="13">
        <v>45322</v>
      </c>
      <c r="K90">
        <v>3.9123999999999999</v>
      </c>
    </row>
    <row r="91" spans="10:13">
      <c r="J91" s="13">
        <v>45289</v>
      </c>
      <c r="K91">
        <v>3.8791000000000002</v>
      </c>
    </row>
    <row r="92" spans="10:13">
      <c r="J92" s="13">
        <v>45260</v>
      </c>
      <c r="K92">
        <v>4.3263999999999996</v>
      </c>
    </row>
    <row r="93" spans="10:13">
      <c r="J93" s="13">
        <v>45230</v>
      </c>
      <c r="K93">
        <v>4.9306999999999999</v>
      </c>
    </row>
    <row r="94" spans="10:13">
      <c r="J94" s="13">
        <v>45198</v>
      </c>
      <c r="K94">
        <v>4.5711000000000004</v>
      </c>
    </row>
    <row r="95" spans="10:13">
      <c r="J95" s="13">
        <v>45169</v>
      </c>
      <c r="K95">
        <v>4.1081000000000003</v>
      </c>
    </row>
    <row r="96" spans="10:13">
      <c r="J96" s="13">
        <v>45138</v>
      </c>
      <c r="K96">
        <v>3.9588000000000001</v>
      </c>
    </row>
    <row r="97" spans="10:11">
      <c r="J97" s="13">
        <v>45107</v>
      </c>
      <c r="K97">
        <v>3.8367</v>
      </c>
    </row>
    <row r="98" spans="10:11">
      <c r="J98" s="13">
        <v>45077</v>
      </c>
      <c r="K98">
        <v>3.6425999999999998</v>
      </c>
    </row>
    <row r="99" spans="10:11">
      <c r="J99" s="13">
        <v>45044</v>
      </c>
      <c r="K99">
        <v>3.4220000000000002</v>
      </c>
    </row>
    <row r="100" spans="10:11">
      <c r="J100" s="13">
        <v>45016</v>
      </c>
      <c r="K100" s="5">
        <v>3.4676</v>
      </c>
    </row>
    <row r="101" spans="10:11">
      <c r="J101" s="13">
        <v>44985</v>
      </c>
      <c r="K101" s="5">
        <v>3.92</v>
      </c>
    </row>
    <row r="102" spans="10:11">
      <c r="J102" s="13">
        <v>44957</v>
      </c>
      <c r="K102" s="5">
        <v>3.5068999999999999</v>
      </c>
    </row>
    <row r="103" spans="10:11">
      <c r="J103" s="13">
        <v>44925</v>
      </c>
      <c r="K103" s="5">
        <v>3.8748</v>
      </c>
    </row>
    <row r="104" spans="10:11">
      <c r="J104" s="13">
        <v>44895</v>
      </c>
      <c r="K104" s="5">
        <v>3.6053999999999999</v>
      </c>
    </row>
    <row r="105" spans="10:11">
      <c r="J105" s="25">
        <v>44865</v>
      </c>
      <c r="K105" s="5">
        <v>4.0477999999999996</v>
      </c>
    </row>
    <row r="106" spans="10:11">
      <c r="J106" s="13">
        <v>44834</v>
      </c>
      <c r="K106" s="5">
        <v>3.8285999999999998</v>
      </c>
    </row>
    <row r="107" spans="10:11">
      <c r="J107" s="13">
        <v>44804</v>
      </c>
      <c r="K107" s="5">
        <v>3.1926000000000001</v>
      </c>
    </row>
    <row r="108" spans="10:11">
      <c r="J108" s="13">
        <v>44772</v>
      </c>
      <c r="K108" s="5">
        <v>2.6486999999999998</v>
      </c>
    </row>
    <row r="109" spans="10:11">
      <c r="J109" s="13">
        <v>44742</v>
      </c>
      <c r="K109" s="5">
        <v>3.0129000000000001</v>
      </c>
    </row>
    <row r="110" spans="10:11">
      <c r="J110" s="13">
        <v>44711</v>
      </c>
      <c r="K110" s="5">
        <v>2.8441000000000001</v>
      </c>
    </row>
    <row r="111" spans="10:11">
      <c r="J111" s="13">
        <v>44680</v>
      </c>
      <c r="K111" s="5">
        <v>2.9336000000000002</v>
      </c>
    </row>
    <row r="112" spans="10:11">
      <c r="J112" s="13">
        <v>44651</v>
      </c>
      <c r="K112" s="5">
        <v>2.3433999999999999</v>
      </c>
    </row>
    <row r="113" spans="10:11">
      <c r="J113" s="13">
        <v>44620</v>
      </c>
      <c r="K113" s="5">
        <v>1.825</v>
      </c>
    </row>
    <row r="114" spans="10:11">
      <c r="J114" s="13">
        <v>44592</v>
      </c>
      <c r="K114" s="5">
        <v>1.7766999999999999</v>
      </c>
    </row>
    <row r="115" spans="10:11">
      <c r="J115" s="13">
        <v>44561</v>
      </c>
      <c r="K115" s="5">
        <v>1.5101</v>
      </c>
    </row>
    <row r="116" spans="10:11">
      <c r="J116" s="13">
        <v>44530</v>
      </c>
      <c r="K116" s="5">
        <v>1.4442999999999999</v>
      </c>
    </row>
    <row r="117" spans="10:11">
      <c r="J117" s="13">
        <v>44498</v>
      </c>
      <c r="K117" s="5">
        <v>1.5521</v>
      </c>
    </row>
    <row r="118" spans="10:11">
      <c r="J118" s="13" t="s">
        <v>24</v>
      </c>
      <c r="K118" s="5">
        <v>1.4873000000000001</v>
      </c>
    </row>
    <row r="119" spans="10:11">
      <c r="J119" s="13">
        <v>44439</v>
      </c>
      <c r="K119" s="5">
        <v>1.3088</v>
      </c>
    </row>
    <row r="120" spans="10:11">
      <c r="J120" s="13">
        <v>44408</v>
      </c>
      <c r="K120" s="5">
        <v>1.2222999999999999</v>
      </c>
    </row>
    <row r="121" spans="10:11">
      <c r="J121" s="13">
        <v>44377</v>
      </c>
      <c r="K121" s="5">
        <v>1.468</v>
      </c>
    </row>
    <row r="122" spans="10:11">
      <c r="J122" s="13">
        <v>44347</v>
      </c>
      <c r="K122" s="5">
        <v>1.5943000000000001</v>
      </c>
    </row>
    <row r="123" spans="10:11">
      <c r="J123" s="13">
        <v>44316</v>
      </c>
      <c r="K123" s="5">
        <v>1.6259000000000001</v>
      </c>
    </row>
    <row r="124" spans="10:11">
      <c r="J124" s="13">
        <v>44286</v>
      </c>
      <c r="K124" s="5">
        <v>1.7403999999999999</v>
      </c>
    </row>
    <row r="125" spans="10:11">
      <c r="J125" s="13">
        <v>44253</v>
      </c>
      <c r="K125" s="5">
        <v>1.4049</v>
      </c>
    </row>
    <row r="126" spans="10:11">
      <c r="J126" s="13">
        <v>44225</v>
      </c>
      <c r="K126" s="5">
        <v>1.0655000000000001</v>
      </c>
    </row>
    <row r="127" spans="10:11">
      <c r="J127" s="13">
        <v>44196</v>
      </c>
      <c r="K127" s="5">
        <v>0.91320000000000001</v>
      </c>
    </row>
    <row r="128" spans="10:11">
      <c r="J128" s="13">
        <v>44165</v>
      </c>
      <c r="K128" s="5">
        <v>0.83889999999999998</v>
      </c>
    </row>
    <row r="129" spans="10:11">
      <c r="J129" s="13">
        <v>44134</v>
      </c>
      <c r="K129" s="5">
        <v>0.87370000000000003</v>
      </c>
    </row>
    <row r="130" spans="10:11">
      <c r="J130" s="13">
        <v>44104</v>
      </c>
      <c r="K130" s="5">
        <v>0.68400000000000005</v>
      </c>
    </row>
    <row r="131" spans="10:11">
      <c r="J131" s="13">
        <v>44074</v>
      </c>
      <c r="K131" s="5">
        <v>0.70479999999999998</v>
      </c>
    </row>
    <row r="132" spans="10:11">
      <c r="J132" s="13">
        <v>44043</v>
      </c>
      <c r="K132" s="5">
        <v>0.5282</v>
      </c>
    </row>
    <row r="133" spans="10:11">
      <c r="J133" s="13">
        <v>44012</v>
      </c>
      <c r="K133" s="5">
        <v>0.65610000000000002</v>
      </c>
    </row>
  </sheetData>
  <mergeCells count="1">
    <mergeCell ref="E52:F53"/>
  </mergeCells>
  <phoneticPr fontId="30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4C512-B73D-46F8-A4AB-B84D82F14EB1}">
  <dimension ref="A1:AG128"/>
  <sheetViews>
    <sheetView topLeftCell="A28" zoomScale="70" zoomScaleNormal="70" workbookViewId="0">
      <selection activeCell="B42" sqref="B42"/>
    </sheetView>
  </sheetViews>
  <sheetFormatPr defaultRowHeight="16.2"/>
  <cols>
    <col min="1" max="1" width="31.5546875" customWidth="1"/>
    <col min="2" max="2" width="17.33203125" bestFit="1" customWidth="1"/>
    <col min="3" max="3" width="16.21875" customWidth="1"/>
    <col min="4" max="4" width="17" customWidth="1"/>
    <col min="5" max="5" width="28" customWidth="1"/>
    <col min="6" max="6" width="21.44140625" customWidth="1"/>
    <col min="7" max="7" width="20.44140625" customWidth="1"/>
    <col min="8" max="9" width="15.77734375" customWidth="1"/>
    <col min="10" max="10" width="14.88671875" customWidth="1"/>
    <col min="13" max="13" width="10.6640625" bestFit="1" customWidth="1"/>
    <col min="16" max="16" width="27.21875" customWidth="1"/>
    <col min="17" max="17" width="10" bestFit="1" customWidth="1"/>
    <col min="19" max="19" width="27.109375" customWidth="1"/>
    <col min="20" max="20" width="9.44140625" bestFit="1" customWidth="1"/>
  </cols>
  <sheetData>
    <row r="1" spans="2:33">
      <c r="B1" t="s">
        <v>55</v>
      </c>
      <c r="C1" s="75" t="s">
        <v>53</v>
      </c>
      <c r="E1" t="s">
        <v>0</v>
      </c>
      <c r="F1" t="s">
        <v>8</v>
      </c>
      <c r="H1" s="67" t="s">
        <v>56</v>
      </c>
      <c r="I1" s="67" t="s">
        <v>50</v>
      </c>
    </row>
    <row r="2" spans="2:33">
      <c r="D2" t="s">
        <v>25</v>
      </c>
      <c r="E2">
        <v>100</v>
      </c>
    </row>
    <row r="3" spans="2:33">
      <c r="B3">
        <v>5000</v>
      </c>
      <c r="C3" s="38">
        <v>515058.38</v>
      </c>
      <c r="D3" s="37">
        <v>44749</v>
      </c>
      <c r="E3" s="2">
        <f>C3/B3</f>
        <v>103.01167599999999</v>
      </c>
      <c r="F3" s="1">
        <f>(E3-100)/100</f>
        <v>3.0116759999999944E-2</v>
      </c>
      <c r="G3" s="22">
        <f>F3+1</f>
        <v>1.0301167599999999</v>
      </c>
    </row>
    <row r="4" spans="2:33">
      <c r="B4">
        <v>5000</v>
      </c>
      <c r="C4" s="38">
        <v>526213.68000000005</v>
      </c>
      <c r="D4" s="37">
        <v>44780</v>
      </c>
      <c r="E4" s="2">
        <f t="shared" ref="E4:E43" si="0">C4/B4</f>
        <v>105.24273600000001</v>
      </c>
      <c r="F4" s="1">
        <f>E4/E3-1</f>
        <v>2.1658321528522873E-2</v>
      </c>
      <c r="G4" s="22">
        <f>F4+1</f>
        <v>1.0216583215285229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2:33">
      <c r="B5">
        <v>5000</v>
      </c>
      <c r="C5" s="38">
        <v>499085</v>
      </c>
      <c r="D5" s="54">
        <v>44811</v>
      </c>
      <c r="E5" s="2">
        <f t="shared" si="0"/>
        <v>99.816999999999993</v>
      </c>
      <c r="F5" s="1">
        <f t="shared" ref="F5:F14" si="1">E5/E4-1</f>
        <v>-5.1554493984269034E-2</v>
      </c>
      <c r="G5" s="22">
        <f>F5+1</f>
        <v>0.94844550601573097</v>
      </c>
    </row>
    <row r="6" spans="2:33">
      <c r="B6">
        <v>8000</v>
      </c>
      <c r="C6" s="38">
        <v>784518</v>
      </c>
      <c r="D6" s="37">
        <v>44835</v>
      </c>
      <c r="E6" s="2">
        <f t="shared" si="0"/>
        <v>98.064750000000004</v>
      </c>
      <c r="F6" s="1">
        <f t="shared" si="1"/>
        <v>-1.755462496368343E-2</v>
      </c>
      <c r="G6" s="22">
        <f t="shared" ref="G6:G13" si="2">F6+1</f>
        <v>0.98244537503631657</v>
      </c>
    </row>
    <row r="7" spans="2:33">
      <c r="B7">
        <v>8000</v>
      </c>
      <c r="C7" s="38">
        <v>788818</v>
      </c>
      <c r="D7" s="37">
        <v>44866</v>
      </c>
      <c r="E7" s="2">
        <f t="shared" si="0"/>
        <v>98.602249999999998</v>
      </c>
      <c r="F7" s="1">
        <f t="shared" si="1"/>
        <v>5.4810724546792144E-3</v>
      </c>
      <c r="G7" s="22">
        <f t="shared" si="2"/>
        <v>1.0054810724546792</v>
      </c>
    </row>
    <row r="8" spans="2:33">
      <c r="B8">
        <v>8000</v>
      </c>
      <c r="C8" s="38">
        <v>764376</v>
      </c>
      <c r="D8" s="54">
        <v>44896</v>
      </c>
      <c r="E8" s="2">
        <f t="shared" si="0"/>
        <v>95.546999999999997</v>
      </c>
      <c r="F8" s="1">
        <f t="shared" si="1"/>
        <v>-3.0985601241350968E-2</v>
      </c>
      <c r="G8" s="22">
        <f t="shared" si="2"/>
        <v>0.96901439875864903</v>
      </c>
      <c r="I8" s="1">
        <f>E8/E2-1</f>
        <v>-4.453000000000007E-2</v>
      </c>
    </row>
    <row r="9" spans="2:33">
      <c r="B9">
        <v>8000</v>
      </c>
      <c r="C9" s="38">
        <v>743817</v>
      </c>
      <c r="D9" s="37">
        <v>44927</v>
      </c>
      <c r="E9" s="2">
        <f t="shared" si="0"/>
        <v>92.977125000000001</v>
      </c>
      <c r="F9" s="1">
        <f t="shared" si="1"/>
        <v>-2.6896448868096279E-2</v>
      </c>
      <c r="G9" s="22">
        <f t="shared" si="2"/>
        <v>0.97310355113190372</v>
      </c>
      <c r="I9" s="1"/>
    </row>
    <row r="10" spans="2:33">
      <c r="B10">
        <v>8000</v>
      </c>
      <c r="C10" s="38">
        <v>689680</v>
      </c>
      <c r="D10" s="37">
        <v>44958</v>
      </c>
      <c r="E10" s="2">
        <f t="shared" si="0"/>
        <v>86.21</v>
      </c>
      <c r="F10" s="1">
        <f t="shared" si="1"/>
        <v>-7.2782687139444358E-2</v>
      </c>
      <c r="G10" s="22">
        <f t="shared" si="2"/>
        <v>0.92721731286055564</v>
      </c>
      <c r="I10" s="1"/>
    </row>
    <row r="11" spans="2:33">
      <c r="B11">
        <v>8000</v>
      </c>
      <c r="C11" s="38">
        <v>671320</v>
      </c>
      <c r="D11" s="54">
        <v>44986</v>
      </c>
      <c r="E11" s="2">
        <f t="shared" si="0"/>
        <v>83.915000000000006</v>
      </c>
      <c r="F11" s="1">
        <f t="shared" si="1"/>
        <v>-2.6621041642500676E-2</v>
      </c>
      <c r="G11" s="22">
        <f t="shared" si="2"/>
        <v>0.97337895835749932</v>
      </c>
      <c r="H11" s="1">
        <f>E11/E8-1</f>
        <v>-0.12174113263629405</v>
      </c>
      <c r="I11" s="1"/>
    </row>
    <row r="12" spans="2:33">
      <c r="B12">
        <v>8000</v>
      </c>
      <c r="C12" s="38">
        <v>629655</v>
      </c>
      <c r="D12" s="58">
        <v>45017</v>
      </c>
      <c r="E12" s="2">
        <f t="shared" si="0"/>
        <v>78.706874999999997</v>
      </c>
      <c r="F12" s="1">
        <f t="shared" si="1"/>
        <v>-6.2064291247095338E-2</v>
      </c>
      <c r="G12" s="22">
        <f t="shared" si="2"/>
        <v>0.93793570875290466</v>
      </c>
      <c r="H12" s="1"/>
      <c r="I12" s="1"/>
    </row>
    <row r="13" spans="2:33">
      <c r="B13">
        <v>8000</v>
      </c>
      <c r="C13" s="38">
        <v>615713</v>
      </c>
      <c r="D13" s="37">
        <v>45047</v>
      </c>
      <c r="E13" s="2">
        <f t="shared" si="0"/>
        <v>76.964124999999996</v>
      </c>
      <c r="F13" s="1">
        <f t="shared" si="1"/>
        <v>-2.2142284266780998E-2</v>
      </c>
      <c r="G13" s="22">
        <f t="shared" si="2"/>
        <v>0.977857715733219</v>
      </c>
      <c r="H13" s="1"/>
      <c r="I13" s="1"/>
    </row>
    <row r="14" spans="2:33">
      <c r="B14">
        <v>8000</v>
      </c>
      <c r="C14" s="38">
        <v>638413</v>
      </c>
      <c r="D14" s="59">
        <v>45078</v>
      </c>
      <c r="E14" s="2">
        <f t="shared" si="0"/>
        <v>79.801625000000001</v>
      </c>
      <c r="F14" s="1">
        <f t="shared" si="1"/>
        <v>3.6867826406134174E-2</v>
      </c>
      <c r="G14" s="22">
        <f>F14+1</f>
        <v>1.0368678264061342</v>
      </c>
      <c r="H14" s="1">
        <f>E14/E11-1</f>
        <v>-4.9018351903712176E-2</v>
      </c>
      <c r="I14" s="1">
        <f>E14/E8-1</f>
        <v>-0.1647919348592839</v>
      </c>
    </row>
    <row r="15" spans="2:33">
      <c r="B15">
        <v>8000</v>
      </c>
      <c r="C15" s="38">
        <v>696245</v>
      </c>
      <c r="D15" s="58">
        <v>45108</v>
      </c>
      <c r="E15" s="2">
        <f t="shared" si="0"/>
        <v>87.030625000000001</v>
      </c>
      <c r="F15" s="1">
        <f>E15/E14-1</f>
        <v>9.0587127768388065E-2</v>
      </c>
      <c r="G15" s="22">
        <f t="shared" ref="G15:G16" si="3">F15+1</f>
        <v>1.0905871277683881</v>
      </c>
      <c r="H15" s="1"/>
      <c r="I15" s="1"/>
    </row>
    <row r="16" spans="2:33">
      <c r="B16">
        <v>8000</v>
      </c>
      <c r="C16" s="38">
        <v>645317</v>
      </c>
      <c r="D16" s="37">
        <v>45139</v>
      </c>
      <c r="E16" s="2">
        <f t="shared" si="0"/>
        <v>80.664625000000001</v>
      </c>
      <c r="F16" s="1">
        <f t="shared" ref="F16" si="4">E16/E15-1</f>
        <v>-7.3146665326142335E-2</v>
      </c>
      <c r="G16" s="22">
        <f t="shared" si="3"/>
        <v>0.92685333467385767</v>
      </c>
      <c r="H16" s="1"/>
      <c r="I16" s="1"/>
    </row>
    <row r="17" spans="1:9">
      <c r="B17">
        <v>8000</v>
      </c>
      <c r="C17" s="38">
        <v>609314</v>
      </c>
      <c r="D17" s="59">
        <v>45170</v>
      </c>
      <c r="E17" s="2">
        <f t="shared" si="0"/>
        <v>76.164249999999996</v>
      </c>
      <c r="F17" s="1">
        <f>E17/E16-1</f>
        <v>-5.5791184797549187E-2</v>
      </c>
      <c r="G17" s="22">
        <f>F17+1</f>
        <v>0.94420881520245081</v>
      </c>
      <c r="H17" s="1">
        <f>E17/E14-1</f>
        <v>-4.5580212182396052E-2</v>
      </c>
      <c r="I17" s="1">
        <f>E17/E8-1</f>
        <v>-0.20286089568484622</v>
      </c>
    </row>
    <row r="18" spans="1:9">
      <c r="B18">
        <v>8000</v>
      </c>
      <c r="C18" s="38">
        <v>585753</v>
      </c>
      <c r="D18" s="58">
        <v>45200</v>
      </c>
      <c r="E18" s="2">
        <f t="shared" si="0"/>
        <v>73.219125000000005</v>
      </c>
      <c r="F18" s="1">
        <f t="shared" ref="F18:F37" si="5">E18/E17-1</f>
        <v>-3.8668075901751697E-2</v>
      </c>
      <c r="G18" s="22">
        <f t="shared" ref="G18:G25" si="6">F18+1</f>
        <v>0.9613319240982483</v>
      </c>
      <c r="H18" s="1"/>
      <c r="I18" s="1"/>
    </row>
    <row r="19" spans="1:9">
      <c r="B19">
        <v>8000</v>
      </c>
      <c r="C19" s="38">
        <v>545974</v>
      </c>
      <c r="D19" s="37">
        <v>45231</v>
      </c>
      <c r="E19" s="2">
        <f t="shared" si="0"/>
        <v>68.246750000000006</v>
      </c>
      <c r="F19" s="1">
        <f t="shared" si="5"/>
        <v>-6.7910877110317847E-2</v>
      </c>
      <c r="G19" s="22">
        <f t="shared" si="6"/>
        <v>0.93208912288968215</v>
      </c>
      <c r="H19" s="1"/>
      <c r="I19" s="1"/>
    </row>
    <row r="20" spans="1:9">
      <c r="B20">
        <v>8000</v>
      </c>
      <c r="C20" s="38">
        <v>630785</v>
      </c>
      <c r="D20" s="59">
        <v>45261</v>
      </c>
      <c r="E20" s="2">
        <f t="shared" si="0"/>
        <v>78.848124999999996</v>
      </c>
      <c r="F20" s="1">
        <f t="shared" si="5"/>
        <v>0.15533889892192643</v>
      </c>
      <c r="G20" s="22">
        <f t="shared" si="6"/>
        <v>1.1553388989219264</v>
      </c>
      <c r="H20" s="1">
        <f>E20/E17-1</f>
        <v>3.5237988951509314E-2</v>
      </c>
      <c r="I20" s="1">
        <f>E20/E8-1</f>
        <v>-0.17477131673417268</v>
      </c>
    </row>
    <row r="21" spans="1:9">
      <c r="B21">
        <v>8000</v>
      </c>
      <c r="C21" s="38">
        <v>606777</v>
      </c>
      <c r="D21" s="58">
        <v>45292</v>
      </c>
      <c r="E21" s="2">
        <f t="shared" si="0"/>
        <v>75.847125000000005</v>
      </c>
      <c r="F21" s="1">
        <f t="shared" si="5"/>
        <v>-3.8060511901836458E-2</v>
      </c>
      <c r="G21" s="22">
        <f t="shared" si="6"/>
        <v>0.96193948809816354</v>
      </c>
      <c r="H21" s="1"/>
      <c r="I21" s="1"/>
    </row>
    <row r="22" spans="1:9">
      <c r="B22">
        <v>8000</v>
      </c>
      <c r="C22" s="38">
        <v>811963</v>
      </c>
      <c r="D22" s="37">
        <v>45323</v>
      </c>
      <c r="E22" s="2">
        <f t="shared" si="0"/>
        <v>101.495375</v>
      </c>
      <c r="F22" s="1">
        <f t="shared" si="5"/>
        <v>0.33815718130383954</v>
      </c>
      <c r="G22" s="22">
        <f t="shared" si="6"/>
        <v>1.3381571813038395</v>
      </c>
      <c r="H22" s="1"/>
      <c r="I22" s="1"/>
    </row>
    <row r="23" spans="1:9">
      <c r="B23">
        <v>8000</v>
      </c>
      <c r="C23" s="38">
        <v>610304</v>
      </c>
      <c r="D23" s="59">
        <v>45352</v>
      </c>
      <c r="E23" s="2">
        <f t="shared" si="0"/>
        <v>76.287999999999997</v>
      </c>
      <c r="F23" s="1">
        <f t="shared" si="5"/>
        <v>-0.24835983905670578</v>
      </c>
      <c r="G23" s="22">
        <f t="shared" si="6"/>
        <v>0.75164016094329422</v>
      </c>
      <c r="H23" s="1">
        <f>E23/E20-1</f>
        <v>-3.2469066322122431E-2</v>
      </c>
      <c r="I23" s="1">
        <f>E23/E20-1</f>
        <v>-3.2469066322122431E-2</v>
      </c>
    </row>
    <row r="24" spans="1:9">
      <c r="B24">
        <v>8000</v>
      </c>
      <c r="C24" s="68">
        <v>571946</v>
      </c>
      <c r="D24" s="58">
        <v>45383</v>
      </c>
      <c r="E24" s="2">
        <f t="shared" si="0"/>
        <v>71.493250000000003</v>
      </c>
      <c r="F24" s="1">
        <f t="shared" si="5"/>
        <v>-6.2850644924496546E-2</v>
      </c>
      <c r="G24" s="22">
        <f t="shared" si="6"/>
        <v>0.93714935507550345</v>
      </c>
      <c r="H24" s="1"/>
      <c r="I24" s="1"/>
    </row>
    <row r="25" spans="1:9">
      <c r="B25">
        <v>8000</v>
      </c>
      <c r="C25" s="38">
        <v>619522</v>
      </c>
      <c r="D25" s="37">
        <v>45413</v>
      </c>
      <c r="E25" s="2">
        <f t="shared" si="0"/>
        <v>77.440250000000006</v>
      </c>
      <c r="F25" s="1">
        <f t="shared" si="5"/>
        <v>8.3182678084994022E-2</v>
      </c>
      <c r="G25" s="22">
        <f t="shared" si="6"/>
        <v>1.083182678084994</v>
      </c>
      <c r="H25" s="1"/>
      <c r="I25" s="1"/>
    </row>
    <row r="26" spans="1:9">
      <c r="A26" s="70"/>
      <c r="B26">
        <v>8000</v>
      </c>
      <c r="C26" s="38">
        <v>543102</v>
      </c>
      <c r="D26" s="59">
        <v>45444</v>
      </c>
      <c r="E26" s="2">
        <f t="shared" si="0"/>
        <v>67.887749999999997</v>
      </c>
      <c r="F26" s="1">
        <f t="shared" si="5"/>
        <v>-0.12335316582784805</v>
      </c>
      <c r="G26" s="22">
        <f>F26+1</f>
        <v>0.87664683417215195</v>
      </c>
      <c r="H26" s="1">
        <f>E26/E23-1</f>
        <v>-0.11011233745805371</v>
      </c>
      <c r="I26" s="1">
        <f>E26/$E$20-1</f>
        <v>-0.13900615899236668</v>
      </c>
    </row>
    <row r="27" spans="1:9">
      <c r="A27" s="70"/>
      <c r="B27">
        <v>8000</v>
      </c>
      <c r="C27" s="38">
        <v>546043</v>
      </c>
      <c r="D27" s="58">
        <v>45474</v>
      </c>
      <c r="E27" s="2">
        <f t="shared" si="0"/>
        <v>68.255375000000001</v>
      </c>
      <c r="F27" s="1">
        <f t="shared" si="5"/>
        <v>5.4151890436788808E-3</v>
      </c>
      <c r="G27" s="22">
        <f>F27+1</f>
        <v>1.0054151890436789</v>
      </c>
      <c r="H27" s="1"/>
      <c r="I27" s="1"/>
    </row>
    <row r="28" spans="1:9">
      <c r="A28" s="70" t="s">
        <v>54</v>
      </c>
      <c r="B28">
        <v>7840</v>
      </c>
      <c r="C28" s="38">
        <f>461939.66</f>
        <v>461939.66</v>
      </c>
      <c r="D28" s="37">
        <v>45505</v>
      </c>
      <c r="E28" s="2">
        <f t="shared" si="0"/>
        <v>58.920874999999995</v>
      </c>
      <c r="F28" s="1">
        <f t="shared" si="5"/>
        <v>-0.13675846041428985</v>
      </c>
      <c r="G28" s="22">
        <f>F28+1</f>
        <v>0.86324153958571015</v>
      </c>
      <c r="H28" s="1"/>
      <c r="I28" s="1"/>
    </row>
    <row r="29" spans="1:9">
      <c r="A29" s="70"/>
      <c r="B29">
        <v>7683.2</v>
      </c>
      <c r="C29" s="38">
        <f>425921.08</f>
        <v>425921.08</v>
      </c>
      <c r="D29" s="76">
        <v>45536</v>
      </c>
      <c r="E29" s="2">
        <f t="shared" si="0"/>
        <v>55.435375885047897</v>
      </c>
      <c r="F29" s="1">
        <f t="shared" si="5"/>
        <v>-5.9155589847436851E-2</v>
      </c>
      <c r="G29" s="22">
        <f>F29+1</f>
        <v>0.94084441015256315</v>
      </c>
      <c r="H29" s="1">
        <f>E29/E26-1</f>
        <v>-0.18342593641639471</v>
      </c>
      <c r="I29" s="1">
        <f>E29/$E$20-1</f>
        <v>-0.29693476052794032</v>
      </c>
    </row>
    <row r="30" spans="1:9">
      <c r="A30" s="70"/>
      <c r="B30">
        <v>7529.5360000000001</v>
      </c>
      <c r="C30" s="38">
        <v>395178.29</v>
      </c>
      <c r="D30" s="37">
        <v>45566</v>
      </c>
      <c r="E30" s="2">
        <f t="shared" si="0"/>
        <v>52.483750658739126</v>
      </c>
      <c r="F30" s="1">
        <f t="shared" si="5"/>
        <v>-5.3244434247714523E-2</v>
      </c>
      <c r="G30" s="22">
        <f t="shared" ref="G30:G37" si="7">F30+1</f>
        <v>0.94675556575228548</v>
      </c>
      <c r="H30" s="1"/>
      <c r="I30" s="1"/>
    </row>
    <row r="31" spans="1:9">
      <c r="A31" s="70"/>
      <c r="B31">
        <v>7416.5929999999998</v>
      </c>
      <c r="C31" s="38">
        <v>521850.03</v>
      </c>
      <c r="D31" s="37">
        <v>45597</v>
      </c>
      <c r="E31" s="2">
        <f t="shared" si="0"/>
        <v>70.362500679220233</v>
      </c>
      <c r="F31" s="1">
        <f t="shared" si="5"/>
        <v>0.3406530553948528</v>
      </c>
      <c r="G31" s="22">
        <f t="shared" si="7"/>
        <v>1.3406530553948528</v>
      </c>
      <c r="H31" s="1"/>
      <c r="I31" s="1"/>
    </row>
    <row r="32" spans="1:9">
      <c r="A32" s="70"/>
      <c r="B32">
        <v>7327.5940000000001</v>
      </c>
      <c r="C32" s="38">
        <v>560847.63</v>
      </c>
      <c r="D32" s="76">
        <v>45627</v>
      </c>
      <c r="E32" s="2">
        <f t="shared" si="0"/>
        <v>76.539124574860452</v>
      </c>
      <c r="F32" s="1">
        <f t="shared" si="5"/>
        <v>8.7782893388044902E-2</v>
      </c>
      <c r="G32" s="22">
        <f t="shared" si="7"/>
        <v>1.0877828933880449</v>
      </c>
      <c r="H32" s="1">
        <f>E32/E29-1</f>
        <v>0.38069100015798196</v>
      </c>
      <c r="I32" s="1">
        <f>E32/$E$20-1</f>
        <v>-2.9284151337010789E-2</v>
      </c>
    </row>
    <row r="33" spans="1:9">
      <c r="A33" s="70"/>
      <c r="B33">
        <v>7254.3180000000002</v>
      </c>
      <c r="C33" s="38">
        <v>445031.56</v>
      </c>
      <c r="D33" s="37">
        <v>45658</v>
      </c>
      <c r="E33" s="2">
        <f t="shared" si="0"/>
        <v>61.347125946229539</v>
      </c>
      <c r="F33" s="1">
        <f t="shared" si="5"/>
        <v>-0.19848670484559972</v>
      </c>
      <c r="G33" s="22">
        <f t="shared" si="7"/>
        <v>0.80151329515440028</v>
      </c>
      <c r="H33" s="1"/>
      <c r="I33" s="1"/>
    </row>
    <row r="34" spans="1:9">
      <c r="A34" s="70"/>
      <c r="B34">
        <v>7254.3180000000002</v>
      </c>
      <c r="C34" s="38">
        <v>400034.83</v>
      </c>
      <c r="D34" s="37">
        <v>45689</v>
      </c>
      <c r="E34" s="2">
        <f t="shared" si="0"/>
        <v>55.144374702073996</v>
      </c>
      <c r="F34" s="1">
        <f t="shared" si="5"/>
        <v>-0.10110907639898603</v>
      </c>
      <c r="G34" s="22">
        <f t="shared" si="7"/>
        <v>0.89889092360101397</v>
      </c>
      <c r="H34" s="1"/>
      <c r="I34" s="1"/>
    </row>
    <row r="35" spans="1:9">
      <c r="B35">
        <v>7254.3180000000002</v>
      </c>
      <c r="C35" s="38">
        <v>369242.07</v>
      </c>
      <c r="D35" s="76">
        <v>45717</v>
      </c>
      <c r="E35" s="2">
        <f t="shared" si="0"/>
        <v>50.899625574726663</v>
      </c>
      <c r="F35" s="1">
        <f t="shared" si="5"/>
        <v>-7.6975197384687832E-2</v>
      </c>
      <c r="G35" s="22">
        <f t="shared" si="7"/>
        <v>0.92302480261531217</v>
      </c>
      <c r="H35" s="1">
        <f>E35/E32-1</f>
        <v>-0.33498552723916541</v>
      </c>
      <c r="I35" s="1">
        <f>E35/$E$32-1</f>
        <v>-0.33498552723916541</v>
      </c>
    </row>
    <row r="36" spans="1:9">
      <c r="B36" s="78">
        <v>7254.3180000000002</v>
      </c>
      <c r="C36" s="38">
        <v>324966.24</v>
      </c>
      <c r="D36" s="77">
        <v>45748</v>
      </c>
      <c r="E36" s="2">
        <f t="shared" si="0"/>
        <v>44.796249626774006</v>
      </c>
      <c r="F36" s="1">
        <f t="shared" si="5"/>
        <v>-0.11991003625345298</v>
      </c>
      <c r="G36" s="22">
        <f t="shared" si="7"/>
        <v>0.88008996374654702</v>
      </c>
    </row>
    <row r="37" spans="1:9">
      <c r="B37" s="78">
        <v>7254.3180000000002</v>
      </c>
      <c r="C37" s="38">
        <v>487550.92</v>
      </c>
      <c r="D37" s="37">
        <v>45778</v>
      </c>
      <c r="E37" s="2">
        <f t="shared" si="0"/>
        <v>67.208374377853303</v>
      </c>
      <c r="F37" s="1">
        <f t="shared" si="5"/>
        <v>0.50031252477180432</v>
      </c>
      <c r="G37" s="22">
        <f t="shared" si="7"/>
        <v>1.5003125247718043</v>
      </c>
      <c r="H37" s="1"/>
      <c r="I37" s="1"/>
    </row>
    <row r="38" spans="1:9">
      <c r="B38" s="78">
        <v>7254.3180000000002</v>
      </c>
      <c r="C38" s="38">
        <v>420944.5</v>
      </c>
      <c r="D38" s="76">
        <v>45809</v>
      </c>
      <c r="E38" s="2">
        <f t="shared" si="0"/>
        <v>58.026750412650777</v>
      </c>
      <c r="F38" s="1">
        <f>E38/E37-1</f>
        <v>-0.13661428430901135</v>
      </c>
      <c r="G38" s="22">
        <f>F38+1</f>
        <v>0.86338571569098865</v>
      </c>
      <c r="H38" s="1">
        <f>E38/E35-1</f>
        <v>0.14002312900044123</v>
      </c>
      <c r="I38" s="1">
        <f>E38/$E$32-1</f>
        <v>-0.24186811993261459</v>
      </c>
    </row>
    <row r="39" spans="1:9">
      <c r="B39" s="78">
        <v>2720.3690000000001</v>
      </c>
      <c r="C39" s="38">
        <v>139729.04</v>
      </c>
      <c r="D39" s="77">
        <v>45839</v>
      </c>
      <c r="E39" s="2">
        <f t="shared" si="0"/>
        <v>51.364002457019616</v>
      </c>
      <c r="F39" s="1">
        <f t="shared" ref="F39:F40" si="8">E39/E38-1</f>
        <v>-0.11482200723372882</v>
      </c>
      <c r="G39" s="22">
        <f t="shared" ref="G39:G43" si="9">F39+1</f>
        <v>0.88517799276627118</v>
      </c>
      <c r="H39" s="1"/>
      <c r="I39" s="1"/>
    </row>
    <row r="40" spans="1:9">
      <c r="B40" s="78">
        <v>2720.3690000000001</v>
      </c>
      <c r="C40" s="38">
        <v>128398.7</v>
      </c>
      <c r="D40" s="77">
        <v>45870</v>
      </c>
      <c r="E40" s="2">
        <f t="shared" si="0"/>
        <v>47.199001311954369</v>
      </c>
      <c r="F40" s="1">
        <f t="shared" si="8"/>
        <v>-8.1087939915711171E-2</v>
      </c>
      <c r="G40" s="22">
        <f t="shared" si="9"/>
        <v>0.91891206008428883</v>
      </c>
      <c r="H40" s="1"/>
      <c r="I40" s="1"/>
    </row>
    <row r="41" spans="1:9">
      <c r="B41" s="78">
        <v>2720.3690000000001</v>
      </c>
      <c r="C41" s="38">
        <v>190118.44</v>
      </c>
      <c r="D41" s="76">
        <v>45901</v>
      </c>
      <c r="E41" s="2">
        <f t="shared" si="0"/>
        <v>69.887004299784323</v>
      </c>
      <c r="F41" s="1">
        <f>E41/E40-1</f>
        <v>0.48068820011417546</v>
      </c>
      <c r="G41" s="22">
        <f t="shared" si="9"/>
        <v>1.4806882001141755</v>
      </c>
      <c r="H41" s="1">
        <f>E41/E38-1</f>
        <v>0.20439286713094695</v>
      </c>
      <c r="I41" s="1">
        <f>E41/$E$32-1</f>
        <v>-8.691137130226656E-2</v>
      </c>
    </row>
    <row r="42" spans="1:9">
      <c r="B42" s="78">
        <v>2720.3690000000001</v>
      </c>
      <c r="C42" s="38">
        <v>223151.88</v>
      </c>
      <c r="D42" s="77">
        <v>45931</v>
      </c>
      <c r="E42" s="2">
        <f t="shared" si="0"/>
        <v>82.030004017837285</v>
      </c>
      <c r="F42" s="1">
        <f t="shared" ref="F42" si="10">E42/E41-1</f>
        <v>0.17375189907933186</v>
      </c>
      <c r="G42" s="22">
        <f t="shared" si="9"/>
        <v>1.1737518990793319</v>
      </c>
      <c r="H42" s="1"/>
      <c r="I42" s="1"/>
    </row>
    <row r="43" spans="1:9">
      <c r="B43" s="78">
        <v>2720.3690000000001</v>
      </c>
      <c r="C43" s="38">
        <v>240113.38</v>
      </c>
      <c r="D43" s="77">
        <v>45962</v>
      </c>
      <c r="E43" s="2">
        <f t="shared" si="0"/>
        <v>88.265003755005296</v>
      </c>
      <c r="F43" s="1">
        <f>E43/E42-1</f>
        <v>7.6008770349593302E-2</v>
      </c>
      <c r="G43" s="22">
        <f t="shared" si="9"/>
        <v>1.0760087703495933</v>
      </c>
      <c r="H43" s="1"/>
      <c r="I43" s="1"/>
    </row>
    <row r="44" spans="1:9">
      <c r="B44" s="78">
        <v>2720.3690000000001</v>
      </c>
      <c r="C44" s="38">
        <v>250978.54</v>
      </c>
      <c r="D44" s="76">
        <v>45992</v>
      </c>
      <c r="E44" s="2">
        <f>C44/B44</f>
        <v>92.259006039254231</v>
      </c>
      <c r="F44" s="1">
        <f>E44/E43-1</f>
        <v>4.5250123087684724E-2</v>
      </c>
      <c r="G44" s="22">
        <f>F44+1</f>
        <v>1.0452501230876847</v>
      </c>
      <c r="H44" s="1">
        <f>E44/E41-1</f>
        <v>0.32011676510705644</v>
      </c>
      <c r="I44" s="1">
        <f t="shared" ref="I44" si="11">E44/$E$32-1</f>
        <v>0.20538360677249012</v>
      </c>
    </row>
    <row r="45" spans="1:9">
      <c r="B45" s="78">
        <v>2720.3690000000001</v>
      </c>
      <c r="C45" s="38">
        <v>246511.69</v>
      </c>
      <c r="D45" s="58">
        <v>46023</v>
      </c>
      <c r="E45" s="2">
        <f t="shared" ref="E45:E47" si="12">C45/B45</f>
        <v>90.617004531370554</v>
      </c>
      <c r="F45" s="1">
        <f t="shared" ref="F45:F47" si="13">E45/E44-1</f>
        <v>-1.7797736810485909E-2</v>
      </c>
      <c r="G45" s="22">
        <f t="shared" ref="G45:G47" si="14">F45+1</f>
        <v>0.98220226318951409</v>
      </c>
      <c r="H45" s="1"/>
      <c r="I45" s="1"/>
    </row>
    <row r="46" spans="1:9">
      <c r="B46" s="78">
        <v>2720.3690000000001</v>
      </c>
      <c r="C46" s="38">
        <v>246761.96</v>
      </c>
      <c r="D46" s="37">
        <v>46054</v>
      </c>
      <c r="E46" s="2">
        <f t="shared" si="12"/>
        <v>90.709003080096849</v>
      </c>
      <c r="F46" s="1">
        <f t="shared" si="13"/>
        <v>1.0152459706880279E-3</v>
      </c>
      <c r="G46" s="22">
        <f t="shared" si="14"/>
        <v>1.001015245970688</v>
      </c>
      <c r="H46" s="1"/>
      <c r="I46" s="1"/>
    </row>
    <row r="47" spans="1:9">
      <c r="B47" s="78">
        <v>2720.3690000000001</v>
      </c>
      <c r="C47" s="38">
        <v>210227.41</v>
      </c>
      <c r="D47" s="59">
        <v>46082</v>
      </c>
      <c r="E47" s="2">
        <f t="shared" si="12"/>
        <v>77.279005164372919</v>
      </c>
      <c r="F47" s="1">
        <f t="shared" si="13"/>
        <v>-0.14805584296704399</v>
      </c>
      <c r="G47" s="22">
        <f t="shared" si="14"/>
        <v>0.85194415703295601</v>
      </c>
      <c r="H47" s="1">
        <f>E47/E44-1</f>
        <v>-0.1623689818260956</v>
      </c>
      <c r="I47" s="1">
        <f>E47/$E$44-1</f>
        <v>-0.1623689818260956</v>
      </c>
    </row>
    <row r="48" spans="1:9">
      <c r="B48" s="78"/>
      <c r="C48" s="38"/>
      <c r="D48" s="76"/>
      <c r="E48" s="2"/>
      <c r="F48" s="1"/>
      <c r="G48" s="22"/>
      <c r="H48" s="1"/>
      <c r="I48" s="1"/>
    </row>
    <row r="49" spans="3:19" ht="16.8" thickBot="1">
      <c r="C49" s="38"/>
      <c r="D49" s="37"/>
      <c r="F49" s="27"/>
      <c r="I49" s="1"/>
    </row>
    <row r="50" spans="3:19">
      <c r="C50" s="38"/>
      <c r="E50" s="82" t="s">
        <v>4</v>
      </c>
      <c r="F50" s="83"/>
    </row>
    <row r="51" spans="3:19">
      <c r="C51" s="38"/>
      <c r="E51" s="84"/>
      <c r="F51" s="85"/>
      <c r="H51" s="1"/>
    </row>
    <row r="52" spans="3:19">
      <c r="C52" s="38"/>
      <c r="E52" s="14" t="s">
        <v>6</v>
      </c>
      <c r="F52" s="23">
        <v>44749</v>
      </c>
      <c r="H52" s="66"/>
    </row>
    <row r="53" spans="3:19">
      <c r="C53" s="38"/>
      <c r="E53" s="14" t="s">
        <v>7</v>
      </c>
      <c r="F53" s="23">
        <v>46112</v>
      </c>
      <c r="H53" s="66"/>
    </row>
    <row r="54" spans="3:19">
      <c r="C54" s="38"/>
      <c r="E54" s="61" t="s">
        <v>1</v>
      </c>
      <c r="F54" s="4">
        <f>(E47-100)/100</f>
        <v>-0.22720994835627081</v>
      </c>
      <c r="G54" s="64" t="str">
        <f ca="1">_xlfn.FORMULATEXT(F54)</f>
        <v>=(E47-100)/100</v>
      </c>
      <c r="P54" s="12"/>
      <c r="Q54" s="19"/>
      <c r="S54" s="29"/>
    </row>
    <row r="55" spans="3:19">
      <c r="E55" s="62" t="s">
        <v>2</v>
      </c>
      <c r="F55" s="4">
        <f>(E47-E44)/E44</f>
        <v>-0.16236898182609558</v>
      </c>
      <c r="G55" s="64" t="str">
        <f t="shared" ref="G55:G69" ca="1" si="15">_xlfn.FORMULATEXT(F55)</f>
        <v>=(E47-E44)/E44</v>
      </c>
      <c r="P55" s="12"/>
      <c r="Q55" s="19"/>
    </row>
    <row r="56" spans="3:19">
      <c r="E56" s="62" t="s">
        <v>36</v>
      </c>
      <c r="F56" s="4">
        <f>STDEVA(F3:F47)</f>
        <v>0.15565486859606537</v>
      </c>
      <c r="G56" s="64" t="str">
        <f t="shared" ca="1" si="15"/>
        <v>=STDEVA(F3:F47)</v>
      </c>
      <c r="J56" s="73" t="s">
        <v>9</v>
      </c>
      <c r="K56" t="s">
        <v>42</v>
      </c>
      <c r="P56" s="30" t="s">
        <v>32</v>
      </c>
      <c r="Q56" s="47">
        <f>F54</f>
        <v>-0.22720994835627081</v>
      </c>
    </row>
    <row r="57" spans="3:19">
      <c r="E57" s="62" t="s">
        <v>35</v>
      </c>
      <c r="F57" s="4">
        <f>STDEVA(F36:F47)</f>
        <v>0.22528094253295505</v>
      </c>
      <c r="G57" s="64" t="str">
        <f t="shared" ca="1" si="15"/>
        <v>=STDEVA(F36:F47)</v>
      </c>
      <c r="J57" s="80">
        <f>AVERAGE(K59:K70)</f>
        <v>4.1908583333333338</v>
      </c>
      <c r="M57" s="13"/>
      <c r="P57" s="29" t="s">
        <v>33</v>
      </c>
      <c r="Q57" s="47">
        <f>F55</f>
        <v>-0.16236898182609558</v>
      </c>
    </row>
    <row r="58" spans="3:19">
      <c r="C58" s="6"/>
      <c r="E58" s="62" t="s">
        <v>13</v>
      </c>
      <c r="F58" s="7">
        <f>F53-F52</f>
        <v>1363</v>
      </c>
      <c r="G58" t="str">
        <f ca="1">_xlfn.FORMULATEXT(F58)</f>
        <v>=F53-F52</v>
      </c>
      <c r="J58" s="5" t="s">
        <v>10</v>
      </c>
      <c r="K58" s="65" t="s">
        <v>48</v>
      </c>
      <c r="L58" s="5"/>
      <c r="M58" s="13"/>
      <c r="P58" s="30" t="s">
        <v>20</v>
      </c>
      <c r="Q58" s="47">
        <f>F59</f>
        <v>-6.642386917348142E-2</v>
      </c>
    </row>
    <row r="59" spans="3:19">
      <c r="E59" s="62" t="s">
        <v>12</v>
      </c>
      <c r="F59" s="4">
        <f>(PRODUCT(G3:G47))^(12/COUNT(G3:G47))-1</f>
        <v>-6.642386917348142E-2</v>
      </c>
      <c r="G59" s="64" t="str">
        <f t="shared" ca="1" si="15"/>
        <v>=(PRODUCT(G3:G47))^(12/COUNT(G3:G47))-1</v>
      </c>
      <c r="J59" s="81">
        <v>46112</v>
      </c>
      <c r="K59">
        <v>4.3166000000000002</v>
      </c>
      <c r="P59" s="29" t="s">
        <v>45</v>
      </c>
      <c r="Q59" s="48">
        <f>F68</f>
        <v>0.37777777777777777</v>
      </c>
    </row>
    <row r="60" spans="3:19">
      <c r="E60" s="62" t="s">
        <v>47</v>
      </c>
      <c r="F60" s="8">
        <f>MAX(F3:F47)</f>
        <v>0.50031252477180432</v>
      </c>
      <c r="G60" s="64" t="str">
        <f t="shared" ca="1" si="15"/>
        <v>=MAX(F3:F47)</v>
      </c>
      <c r="J60" s="81">
        <v>46080</v>
      </c>
      <c r="K60">
        <v>3.9375</v>
      </c>
      <c r="P60" s="30" t="s">
        <v>43</v>
      </c>
      <c r="Q60" s="48">
        <f>F69</f>
        <v>0.62222222222222223</v>
      </c>
    </row>
    <row r="61" spans="3:19">
      <c r="E61" s="62" t="s">
        <v>44</v>
      </c>
      <c r="F61" s="8">
        <f>MIN(F3:F47)</f>
        <v>-0.24835983905670578</v>
      </c>
      <c r="G61" s="64" t="str">
        <f t="shared" ca="1" si="15"/>
        <v>=MIN(F3:F47)</v>
      </c>
      <c r="J61" s="81">
        <v>46052</v>
      </c>
      <c r="K61">
        <v>4.2355</v>
      </c>
      <c r="P61" s="29" t="s">
        <v>21</v>
      </c>
      <c r="Q61" s="47">
        <f>F62</f>
        <v>0.53920428170768497</v>
      </c>
    </row>
    <row r="62" spans="3:19">
      <c r="E62" s="62" t="s">
        <v>17</v>
      </c>
      <c r="F62" s="4">
        <f>F56*SQRT(12)</f>
        <v>0.53920428170768497</v>
      </c>
      <c r="G62" t="str">
        <f ca="1">_xlfn.FORMULATEXT(F62)</f>
        <v>=F56*SQRT(12)</v>
      </c>
      <c r="J62" s="79">
        <v>46022</v>
      </c>
      <c r="K62">
        <v>4.1669999999999998</v>
      </c>
      <c r="M62" s="13"/>
      <c r="P62" s="30" t="s">
        <v>22</v>
      </c>
      <c r="Q62" s="49">
        <f>F65</f>
        <v>-0.20091170671664707</v>
      </c>
    </row>
    <row r="63" spans="3:19">
      <c r="E63" s="62" t="s">
        <v>18</v>
      </c>
      <c r="F63" s="4">
        <f>F57*SQRT(12)</f>
        <v>0.78039607688816526</v>
      </c>
      <c r="G63" t="str">
        <f t="shared" ca="1" si="15"/>
        <v>=F57*SQRT(12)</v>
      </c>
      <c r="J63" s="13">
        <v>45989</v>
      </c>
      <c r="K63">
        <v>4.0132000000000003</v>
      </c>
      <c r="L63" s="5"/>
      <c r="M63" s="13"/>
      <c r="P63" s="29"/>
      <c r="Q63" s="35"/>
    </row>
    <row r="64" spans="3:19">
      <c r="E64" s="71" t="s">
        <v>5</v>
      </c>
      <c r="F64" s="74">
        <f>J57/100</f>
        <v>4.1908583333333339E-2</v>
      </c>
      <c r="G64" t="str">
        <f t="shared" ca="1" si="15"/>
        <v>=J57/100</v>
      </c>
      <c r="J64" s="79">
        <v>45961</v>
      </c>
      <c r="K64">
        <v>4.0774999999999997</v>
      </c>
      <c r="L64" s="5"/>
      <c r="M64" s="13"/>
      <c r="Q64" s="46"/>
    </row>
    <row r="65" spans="5:17">
      <c r="E65" s="71" t="s">
        <v>3</v>
      </c>
      <c r="F65" s="72">
        <f>(F59-F64)/F62</f>
        <v>-0.20091170671664707</v>
      </c>
      <c r="G65" t="str">
        <f t="shared" ca="1" si="15"/>
        <v>=(F59-F64)/F62</v>
      </c>
      <c r="J65" s="79">
        <v>45930</v>
      </c>
      <c r="K65">
        <v>4.1502999999999997</v>
      </c>
      <c r="L65" s="5"/>
      <c r="M65" s="13"/>
      <c r="P65" s="12"/>
      <c r="Q65" s="19"/>
    </row>
    <row r="66" spans="5:17">
      <c r="E66" s="62" t="s">
        <v>19</v>
      </c>
      <c r="F66" s="4">
        <f>E36/E32-1</f>
        <v>-0.41472743677698798</v>
      </c>
      <c r="G66" s="64" t="str">
        <f t="shared" ca="1" si="15"/>
        <v>=E36/E32-1</v>
      </c>
      <c r="J66" s="13">
        <v>45898</v>
      </c>
      <c r="K66">
        <v>4.2283999999999997</v>
      </c>
      <c r="L66" s="5"/>
      <c r="M66" s="13"/>
    </row>
    <row r="67" spans="5:17">
      <c r="E67" s="62" t="s">
        <v>14</v>
      </c>
      <c r="F67" s="7">
        <f>COUNT(F3:F47)</f>
        <v>45</v>
      </c>
      <c r="G67" s="64" t="str">
        <f t="shared" ca="1" si="15"/>
        <v>=COUNT(F3:F47)</v>
      </c>
      <c r="J67" s="79">
        <v>45868</v>
      </c>
      <c r="K67">
        <v>4.3739999999999997</v>
      </c>
      <c r="L67" s="5"/>
      <c r="M67" s="13"/>
    </row>
    <row r="68" spans="5:17">
      <c r="E68" s="62" t="s">
        <v>15</v>
      </c>
      <c r="F68" s="51">
        <f>COUNTIF(F3:F47,"&gt;0")/F67</f>
        <v>0.37777777777777777</v>
      </c>
      <c r="G68" s="64" t="str">
        <f t="shared" ca="1" si="15"/>
        <v>=COUNTIF(F3:F47,"&gt;0")/F67</v>
      </c>
      <c r="J68" s="13">
        <v>45838</v>
      </c>
      <c r="K68">
        <v>4.2279999999999998</v>
      </c>
      <c r="L68" s="5"/>
      <c r="M68" s="13"/>
    </row>
    <row r="69" spans="5:17" ht="16.8" thickBot="1">
      <c r="E69" s="63" t="s">
        <v>16</v>
      </c>
      <c r="F69" s="53">
        <f>COUNTIF(F3:F47,"&lt;0")/F67</f>
        <v>0.62222222222222223</v>
      </c>
      <c r="G69" s="64" t="str">
        <f t="shared" ca="1" si="15"/>
        <v>=COUNTIF(F3:F47,"&lt;0")/F67</v>
      </c>
      <c r="J69" s="13">
        <v>45807</v>
      </c>
      <c r="K69">
        <v>4.4004000000000003</v>
      </c>
      <c r="L69" s="5"/>
      <c r="M69" s="13"/>
    </row>
    <row r="70" spans="5:17">
      <c r="J70" s="79">
        <v>45777</v>
      </c>
      <c r="K70">
        <v>4.1619000000000002</v>
      </c>
      <c r="L70" s="5"/>
      <c r="M70" s="13"/>
    </row>
    <row r="71" spans="5:17">
      <c r="J71" s="13">
        <v>45747</v>
      </c>
      <c r="K71" s="65">
        <v>4.2053000000000003</v>
      </c>
      <c r="L71" s="5"/>
      <c r="M71" s="13"/>
    </row>
    <row r="72" spans="5:17">
      <c r="J72" s="13">
        <v>45716</v>
      </c>
      <c r="K72" s="65">
        <v>4.2081999999999997</v>
      </c>
      <c r="L72" s="5"/>
      <c r="M72" s="13"/>
    </row>
    <row r="73" spans="5:17">
      <c r="J73" s="13">
        <v>45688</v>
      </c>
      <c r="K73" s="65">
        <v>4.5387000000000004</v>
      </c>
      <c r="L73" s="5"/>
      <c r="M73" s="13"/>
    </row>
    <row r="74" spans="5:17">
      <c r="J74" s="13">
        <v>45657</v>
      </c>
      <c r="K74" s="65">
        <v>4.569</v>
      </c>
      <c r="L74" s="5"/>
      <c r="M74" s="13"/>
    </row>
    <row r="75" spans="5:17">
      <c r="J75" s="13">
        <v>45625</v>
      </c>
      <c r="K75" s="65">
        <v>4.1684999999999999</v>
      </c>
      <c r="M75" s="13"/>
    </row>
    <row r="76" spans="5:17">
      <c r="J76" s="13">
        <v>45596</v>
      </c>
      <c r="K76" s="65">
        <v>4.2843999999999998</v>
      </c>
      <c r="M76" s="13"/>
    </row>
    <row r="77" spans="5:17">
      <c r="J77" s="13">
        <v>45565</v>
      </c>
      <c r="K77" s="65">
        <v>3.7808999999999999</v>
      </c>
      <c r="M77" s="13"/>
    </row>
    <row r="78" spans="5:17">
      <c r="J78" s="13">
        <v>45534</v>
      </c>
      <c r="K78">
        <v>3.9034</v>
      </c>
      <c r="M78" s="13"/>
    </row>
    <row r="79" spans="5:17">
      <c r="J79" s="13">
        <v>45504</v>
      </c>
      <c r="K79">
        <v>4.0296000000000003</v>
      </c>
      <c r="M79" s="13"/>
    </row>
    <row r="80" spans="5:17">
      <c r="J80" s="13">
        <v>45471</v>
      </c>
      <c r="K80">
        <v>4.3960999999999997</v>
      </c>
      <c r="M80" s="13"/>
    </row>
    <row r="81" spans="10:11">
      <c r="J81" s="13">
        <v>45443</v>
      </c>
      <c r="K81">
        <v>4.4984999999999999</v>
      </c>
    </row>
    <row r="82" spans="10:11">
      <c r="J82" s="13">
        <v>45412</v>
      </c>
      <c r="K82">
        <v>4.6798000000000002</v>
      </c>
    </row>
    <row r="83" spans="10:11">
      <c r="J83" s="13">
        <v>45380</v>
      </c>
      <c r="K83">
        <v>4.2003000000000004</v>
      </c>
    </row>
    <row r="84" spans="10:11">
      <c r="J84" s="13">
        <v>45351</v>
      </c>
      <c r="K84">
        <v>4.2502000000000004</v>
      </c>
    </row>
    <row r="85" spans="10:11">
      <c r="J85" s="13">
        <v>45322</v>
      </c>
      <c r="K85">
        <v>3.9123999999999999</v>
      </c>
    </row>
    <row r="86" spans="10:11">
      <c r="J86" s="13">
        <v>45289</v>
      </c>
      <c r="K86">
        <v>3.8791000000000002</v>
      </c>
    </row>
    <row r="87" spans="10:11">
      <c r="J87" s="13">
        <v>45260</v>
      </c>
      <c r="K87">
        <v>4.3263999999999996</v>
      </c>
    </row>
    <row r="88" spans="10:11">
      <c r="J88" s="13">
        <v>45230</v>
      </c>
      <c r="K88">
        <v>4.9306999999999999</v>
      </c>
    </row>
    <row r="89" spans="10:11">
      <c r="J89" s="13">
        <v>45198</v>
      </c>
      <c r="K89">
        <v>4.5711000000000004</v>
      </c>
    </row>
    <row r="90" spans="10:11">
      <c r="J90" s="13">
        <v>45169</v>
      </c>
      <c r="K90">
        <v>4.1081000000000003</v>
      </c>
    </row>
    <row r="91" spans="10:11">
      <c r="J91" s="13">
        <v>45138</v>
      </c>
      <c r="K91">
        <v>3.9588000000000001</v>
      </c>
    </row>
    <row r="92" spans="10:11">
      <c r="J92" s="13">
        <v>45107</v>
      </c>
      <c r="K92">
        <v>3.8367</v>
      </c>
    </row>
    <row r="93" spans="10:11">
      <c r="J93" s="13">
        <v>45077</v>
      </c>
      <c r="K93">
        <v>3.6425999999999998</v>
      </c>
    </row>
    <row r="94" spans="10:11">
      <c r="J94" s="13">
        <v>45044</v>
      </c>
      <c r="K94">
        <v>3.4220000000000002</v>
      </c>
    </row>
    <row r="95" spans="10:11">
      <c r="J95" s="13">
        <v>45016</v>
      </c>
      <c r="K95" s="5">
        <v>3.4676</v>
      </c>
    </row>
    <row r="96" spans="10:11">
      <c r="J96" s="13">
        <v>44985</v>
      </c>
      <c r="K96" s="5">
        <v>3.92</v>
      </c>
    </row>
    <row r="97" spans="10:11">
      <c r="J97" s="13">
        <v>44957</v>
      </c>
      <c r="K97" s="5">
        <v>3.5068999999999999</v>
      </c>
    </row>
    <row r="98" spans="10:11">
      <c r="J98" s="13">
        <v>44925</v>
      </c>
      <c r="K98" s="5">
        <v>3.8748</v>
      </c>
    </row>
    <row r="99" spans="10:11">
      <c r="J99" s="13">
        <v>44895</v>
      </c>
      <c r="K99" s="5">
        <v>3.6053999999999999</v>
      </c>
    </row>
    <row r="100" spans="10:11">
      <c r="J100" s="25">
        <v>44865</v>
      </c>
      <c r="K100" s="5">
        <v>4.0477999999999996</v>
      </c>
    </row>
    <row r="101" spans="10:11">
      <c r="J101" s="13">
        <v>44834</v>
      </c>
      <c r="K101" s="5">
        <v>3.8285999999999998</v>
      </c>
    </row>
    <row r="102" spans="10:11">
      <c r="J102" s="13">
        <v>44804</v>
      </c>
      <c r="K102" s="5">
        <v>3.1926000000000001</v>
      </c>
    </row>
    <row r="103" spans="10:11">
      <c r="J103" s="13">
        <v>44772</v>
      </c>
      <c r="K103" s="5">
        <v>2.6486999999999998</v>
      </c>
    </row>
    <row r="104" spans="10:11">
      <c r="J104" s="13">
        <v>44742</v>
      </c>
      <c r="K104" s="5">
        <v>3.0129000000000001</v>
      </c>
    </row>
    <row r="105" spans="10:11">
      <c r="J105" s="13">
        <v>44711</v>
      </c>
      <c r="K105" s="5">
        <v>2.8441000000000001</v>
      </c>
    </row>
    <row r="106" spans="10:11">
      <c r="J106" s="13">
        <v>44680</v>
      </c>
      <c r="K106" s="5">
        <v>2.9336000000000002</v>
      </c>
    </row>
    <row r="107" spans="10:11">
      <c r="J107" s="13">
        <v>44651</v>
      </c>
      <c r="K107" s="5">
        <v>2.3433999999999999</v>
      </c>
    </row>
    <row r="108" spans="10:11">
      <c r="J108" s="13">
        <v>44620</v>
      </c>
      <c r="K108" s="5">
        <v>1.825</v>
      </c>
    </row>
    <row r="109" spans="10:11">
      <c r="J109" s="13">
        <v>44592</v>
      </c>
      <c r="K109" s="5">
        <v>1.7766999999999999</v>
      </c>
    </row>
    <row r="110" spans="10:11">
      <c r="J110" s="13">
        <v>44561</v>
      </c>
      <c r="K110" s="5">
        <v>1.5101</v>
      </c>
    </row>
    <row r="111" spans="10:11">
      <c r="J111" s="13">
        <v>44530</v>
      </c>
      <c r="K111" s="5">
        <v>1.4442999999999999</v>
      </c>
    </row>
    <row r="112" spans="10:11">
      <c r="J112" s="13">
        <v>44498</v>
      </c>
      <c r="K112" s="5">
        <v>1.5521</v>
      </c>
    </row>
    <row r="113" spans="10:11">
      <c r="J113" s="13" t="s">
        <v>24</v>
      </c>
      <c r="K113" s="5">
        <v>1.4873000000000001</v>
      </c>
    </row>
    <row r="114" spans="10:11">
      <c r="J114" s="13">
        <v>44439</v>
      </c>
      <c r="K114" s="5">
        <v>1.3088</v>
      </c>
    </row>
    <row r="115" spans="10:11">
      <c r="J115" s="13">
        <v>44408</v>
      </c>
      <c r="K115" s="5">
        <v>1.2222999999999999</v>
      </c>
    </row>
    <row r="116" spans="10:11">
      <c r="J116" s="13">
        <v>44377</v>
      </c>
      <c r="K116" s="5">
        <v>1.468</v>
      </c>
    </row>
    <row r="117" spans="10:11">
      <c r="J117" s="13">
        <v>44347</v>
      </c>
      <c r="K117" s="5">
        <v>1.5943000000000001</v>
      </c>
    </row>
    <row r="118" spans="10:11">
      <c r="J118" s="13">
        <v>44316</v>
      </c>
      <c r="K118" s="5">
        <v>1.6259000000000001</v>
      </c>
    </row>
    <row r="119" spans="10:11">
      <c r="J119" s="13">
        <v>44286</v>
      </c>
      <c r="K119" s="5">
        <v>1.7403999999999999</v>
      </c>
    </row>
    <row r="120" spans="10:11">
      <c r="J120" s="13">
        <v>44253</v>
      </c>
      <c r="K120" s="5">
        <v>1.4049</v>
      </c>
    </row>
    <row r="121" spans="10:11">
      <c r="J121" s="13">
        <v>44225</v>
      </c>
      <c r="K121" s="5">
        <v>1.0655000000000001</v>
      </c>
    </row>
    <row r="122" spans="10:11">
      <c r="J122" s="13">
        <v>44196</v>
      </c>
      <c r="K122" s="5">
        <v>0.91320000000000001</v>
      </c>
    </row>
    <row r="123" spans="10:11">
      <c r="J123" s="13">
        <v>44165</v>
      </c>
      <c r="K123" s="5">
        <v>0.83889999999999998</v>
      </c>
    </row>
    <row r="124" spans="10:11">
      <c r="J124" s="13">
        <v>44134</v>
      </c>
      <c r="K124" s="5">
        <v>0.87370000000000003</v>
      </c>
    </row>
    <row r="125" spans="10:11">
      <c r="J125" s="13">
        <v>44104</v>
      </c>
      <c r="K125" s="5">
        <v>0.68400000000000005</v>
      </c>
    </row>
    <row r="126" spans="10:11">
      <c r="J126" s="13">
        <v>44074</v>
      </c>
      <c r="K126" s="5">
        <v>0.70479999999999998</v>
      </c>
    </row>
    <row r="127" spans="10:11">
      <c r="J127" s="13">
        <v>44043</v>
      </c>
      <c r="K127" s="5">
        <v>0.5282</v>
      </c>
    </row>
    <row r="128" spans="10:11">
      <c r="J128" s="13">
        <v>44012</v>
      </c>
      <c r="K128" s="5">
        <v>0.65610000000000002</v>
      </c>
    </row>
  </sheetData>
  <mergeCells count="1">
    <mergeCell ref="E50:F51"/>
  </mergeCells>
  <phoneticPr fontId="30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356F3-2CBE-4525-A8B8-3DD9410A65BB}">
  <dimension ref="A1:AG122"/>
  <sheetViews>
    <sheetView topLeftCell="E33" zoomScale="115" zoomScaleNormal="115" workbookViewId="0">
      <selection activeCell="J44" sqref="J44"/>
    </sheetView>
  </sheetViews>
  <sheetFormatPr defaultRowHeight="16.2"/>
  <cols>
    <col min="1" max="1" width="31.5546875" customWidth="1"/>
    <col min="2" max="2" width="17.33203125" bestFit="1" customWidth="1"/>
    <col min="3" max="3" width="16.21875" customWidth="1"/>
    <col min="4" max="4" width="17" customWidth="1"/>
    <col min="5" max="5" width="28" customWidth="1"/>
    <col min="6" max="6" width="21.44140625" customWidth="1"/>
    <col min="7" max="7" width="20.44140625" customWidth="1"/>
    <col min="8" max="9" width="15.77734375" customWidth="1"/>
    <col min="10" max="10" width="14.88671875" customWidth="1"/>
    <col min="13" max="13" width="10.6640625" bestFit="1" customWidth="1"/>
    <col min="16" max="16" width="27.21875" customWidth="1"/>
    <col min="17" max="17" width="10" bestFit="1" customWidth="1"/>
    <col min="19" max="19" width="27.109375" customWidth="1"/>
    <col min="20" max="20" width="9.44140625" bestFit="1" customWidth="1"/>
  </cols>
  <sheetData>
    <row r="1" spans="2:33">
      <c r="B1" t="s">
        <v>55</v>
      </c>
      <c r="C1" s="75" t="s">
        <v>53</v>
      </c>
      <c r="E1" t="s">
        <v>0</v>
      </c>
      <c r="F1" t="s">
        <v>8</v>
      </c>
      <c r="H1" s="67" t="s">
        <v>56</v>
      </c>
      <c r="I1" s="67" t="s">
        <v>50</v>
      </c>
    </row>
    <row r="2" spans="2:33">
      <c r="D2" t="s">
        <v>25</v>
      </c>
      <c r="E2">
        <v>100</v>
      </c>
    </row>
    <row r="3" spans="2:33">
      <c r="B3">
        <v>5000</v>
      </c>
      <c r="C3" s="38">
        <v>515058.38</v>
      </c>
      <c r="D3" s="37">
        <v>44749</v>
      </c>
      <c r="E3" s="2">
        <f>C3/B3</f>
        <v>103.01167599999999</v>
      </c>
      <c r="F3" s="1">
        <f>(E3-100)/100</f>
        <v>3.0116759999999944E-2</v>
      </c>
      <c r="G3" s="22">
        <f>F3+1</f>
        <v>1.0301167599999999</v>
      </c>
    </row>
    <row r="4" spans="2:33">
      <c r="B4">
        <v>5000</v>
      </c>
      <c r="C4" s="38">
        <v>526213.68000000005</v>
      </c>
      <c r="D4" s="37">
        <v>44780</v>
      </c>
      <c r="E4" s="2">
        <f t="shared" ref="E4:E41" si="0">C4/B4</f>
        <v>105.24273600000001</v>
      </c>
      <c r="F4" s="1">
        <f>E4/E3-1</f>
        <v>2.1658321528522873E-2</v>
      </c>
      <c r="G4" s="22">
        <f>F4+1</f>
        <v>1.0216583215285229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2:33">
      <c r="B5">
        <v>5000</v>
      </c>
      <c r="C5" s="38">
        <v>499085</v>
      </c>
      <c r="D5" s="54">
        <v>44811</v>
      </c>
      <c r="E5" s="2">
        <f t="shared" si="0"/>
        <v>99.816999999999993</v>
      </c>
      <c r="F5" s="1">
        <f t="shared" ref="F5:F14" si="1">E5/E4-1</f>
        <v>-5.1554493984269034E-2</v>
      </c>
      <c r="G5" s="22">
        <f>F5+1</f>
        <v>0.94844550601573097</v>
      </c>
    </row>
    <row r="6" spans="2:33">
      <c r="B6">
        <v>8000</v>
      </c>
      <c r="C6" s="38">
        <v>784518</v>
      </c>
      <c r="D6" s="37">
        <v>44835</v>
      </c>
      <c r="E6" s="2">
        <f t="shared" si="0"/>
        <v>98.064750000000004</v>
      </c>
      <c r="F6" s="1">
        <f t="shared" si="1"/>
        <v>-1.755462496368343E-2</v>
      </c>
      <c r="G6" s="22">
        <f t="shared" ref="G6:G13" si="2">F6+1</f>
        <v>0.98244537503631657</v>
      </c>
    </row>
    <row r="7" spans="2:33">
      <c r="B7">
        <v>8000</v>
      </c>
      <c r="C7" s="38">
        <v>788818</v>
      </c>
      <c r="D7" s="37">
        <v>44866</v>
      </c>
      <c r="E7" s="2">
        <f t="shared" si="0"/>
        <v>98.602249999999998</v>
      </c>
      <c r="F7" s="1">
        <f t="shared" si="1"/>
        <v>5.4810724546792144E-3</v>
      </c>
      <c r="G7" s="22">
        <f t="shared" si="2"/>
        <v>1.0054810724546792</v>
      </c>
    </row>
    <row r="8" spans="2:33">
      <c r="B8">
        <v>8000</v>
      </c>
      <c r="C8" s="38">
        <v>764376</v>
      </c>
      <c r="D8" s="54">
        <v>44896</v>
      </c>
      <c r="E8" s="2">
        <f t="shared" si="0"/>
        <v>95.546999999999997</v>
      </c>
      <c r="F8" s="1">
        <f t="shared" si="1"/>
        <v>-3.0985601241350968E-2</v>
      </c>
      <c r="G8" s="22">
        <f t="shared" si="2"/>
        <v>0.96901439875864903</v>
      </c>
      <c r="I8" s="1">
        <f>E8/E2-1</f>
        <v>-4.453000000000007E-2</v>
      </c>
    </row>
    <row r="9" spans="2:33">
      <c r="B9">
        <v>8000</v>
      </c>
      <c r="C9" s="38">
        <v>743817</v>
      </c>
      <c r="D9" s="37">
        <v>44927</v>
      </c>
      <c r="E9" s="2">
        <f t="shared" si="0"/>
        <v>92.977125000000001</v>
      </c>
      <c r="F9" s="1">
        <f t="shared" si="1"/>
        <v>-2.6896448868096279E-2</v>
      </c>
      <c r="G9" s="22">
        <f t="shared" si="2"/>
        <v>0.97310355113190372</v>
      </c>
      <c r="I9" s="1"/>
    </row>
    <row r="10" spans="2:33">
      <c r="B10">
        <v>8000</v>
      </c>
      <c r="C10" s="38">
        <v>689680</v>
      </c>
      <c r="D10" s="37">
        <v>44958</v>
      </c>
      <c r="E10" s="2">
        <f t="shared" si="0"/>
        <v>86.21</v>
      </c>
      <c r="F10" s="1">
        <f t="shared" si="1"/>
        <v>-7.2782687139444358E-2</v>
      </c>
      <c r="G10" s="22">
        <f t="shared" si="2"/>
        <v>0.92721731286055564</v>
      </c>
      <c r="I10" s="1"/>
    </row>
    <row r="11" spans="2:33">
      <c r="B11">
        <v>8000</v>
      </c>
      <c r="C11" s="38">
        <v>671320</v>
      </c>
      <c r="D11" s="54">
        <v>44986</v>
      </c>
      <c r="E11" s="2">
        <f t="shared" si="0"/>
        <v>83.915000000000006</v>
      </c>
      <c r="F11" s="1">
        <f t="shared" si="1"/>
        <v>-2.6621041642500676E-2</v>
      </c>
      <c r="G11" s="22">
        <f t="shared" si="2"/>
        <v>0.97337895835749932</v>
      </c>
      <c r="H11" s="1">
        <f>E11/E8-1</f>
        <v>-0.12174113263629405</v>
      </c>
      <c r="I11" s="1"/>
    </row>
    <row r="12" spans="2:33">
      <c r="B12">
        <v>8000</v>
      </c>
      <c r="C12" s="38">
        <v>629655</v>
      </c>
      <c r="D12" s="58">
        <v>45017</v>
      </c>
      <c r="E12" s="2">
        <f t="shared" si="0"/>
        <v>78.706874999999997</v>
      </c>
      <c r="F12" s="1">
        <f t="shared" si="1"/>
        <v>-6.2064291247095338E-2</v>
      </c>
      <c r="G12" s="22">
        <f t="shared" si="2"/>
        <v>0.93793570875290466</v>
      </c>
      <c r="H12" s="1"/>
      <c r="I12" s="1"/>
    </row>
    <row r="13" spans="2:33">
      <c r="B13">
        <v>8000</v>
      </c>
      <c r="C13" s="38">
        <v>615713</v>
      </c>
      <c r="D13" s="37">
        <v>45047</v>
      </c>
      <c r="E13" s="2">
        <f t="shared" si="0"/>
        <v>76.964124999999996</v>
      </c>
      <c r="F13" s="1">
        <f t="shared" si="1"/>
        <v>-2.2142284266780998E-2</v>
      </c>
      <c r="G13" s="22">
        <f t="shared" si="2"/>
        <v>0.977857715733219</v>
      </c>
      <c r="H13" s="1"/>
      <c r="I13" s="1"/>
    </row>
    <row r="14" spans="2:33">
      <c r="B14">
        <v>8000</v>
      </c>
      <c r="C14" s="38">
        <v>638413</v>
      </c>
      <c r="D14" s="59">
        <v>45078</v>
      </c>
      <c r="E14" s="2">
        <f t="shared" si="0"/>
        <v>79.801625000000001</v>
      </c>
      <c r="F14" s="1">
        <f t="shared" si="1"/>
        <v>3.6867826406134174E-2</v>
      </c>
      <c r="G14" s="22">
        <f>F14+1</f>
        <v>1.0368678264061342</v>
      </c>
      <c r="H14" s="1">
        <f>E14/E11-1</f>
        <v>-4.9018351903712176E-2</v>
      </c>
      <c r="I14" s="1">
        <f>E14/E8-1</f>
        <v>-0.1647919348592839</v>
      </c>
    </row>
    <row r="15" spans="2:33">
      <c r="B15">
        <v>8000</v>
      </c>
      <c r="C15" s="38">
        <v>696245</v>
      </c>
      <c r="D15" s="58">
        <v>45108</v>
      </c>
      <c r="E15" s="2">
        <f t="shared" si="0"/>
        <v>87.030625000000001</v>
      </c>
      <c r="F15" s="1">
        <f>E15/E14-1</f>
        <v>9.0587127768388065E-2</v>
      </c>
      <c r="G15" s="22">
        <f t="shared" ref="G15:G16" si="3">F15+1</f>
        <v>1.0905871277683881</v>
      </c>
      <c r="H15" s="1"/>
      <c r="I15" s="1"/>
    </row>
    <row r="16" spans="2:33">
      <c r="B16">
        <v>8000</v>
      </c>
      <c r="C16" s="38">
        <v>645317</v>
      </c>
      <c r="D16" s="37">
        <v>45139</v>
      </c>
      <c r="E16" s="2">
        <f t="shared" si="0"/>
        <v>80.664625000000001</v>
      </c>
      <c r="F16" s="1">
        <f t="shared" ref="F16" si="4">E16/E15-1</f>
        <v>-7.3146665326142335E-2</v>
      </c>
      <c r="G16" s="22">
        <f t="shared" si="3"/>
        <v>0.92685333467385767</v>
      </c>
      <c r="H16" s="1"/>
      <c r="I16" s="1"/>
    </row>
    <row r="17" spans="1:9">
      <c r="B17">
        <v>8000</v>
      </c>
      <c r="C17" s="38">
        <v>609314</v>
      </c>
      <c r="D17" s="59">
        <v>45170</v>
      </c>
      <c r="E17" s="2">
        <f t="shared" si="0"/>
        <v>76.164249999999996</v>
      </c>
      <c r="F17" s="1">
        <f>E17/E16-1</f>
        <v>-5.5791184797549187E-2</v>
      </c>
      <c r="G17" s="22">
        <f>F17+1</f>
        <v>0.94420881520245081</v>
      </c>
      <c r="H17" s="1">
        <f>E17/E14-1</f>
        <v>-4.5580212182396052E-2</v>
      </c>
      <c r="I17" s="1">
        <f>E17/E8-1</f>
        <v>-0.20286089568484622</v>
      </c>
    </row>
    <row r="18" spans="1:9">
      <c r="B18">
        <v>8000</v>
      </c>
      <c r="C18" s="38">
        <v>585753</v>
      </c>
      <c r="D18" s="58">
        <v>45200</v>
      </c>
      <c r="E18" s="2">
        <f t="shared" si="0"/>
        <v>73.219125000000005</v>
      </c>
      <c r="F18" s="1">
        <f t="shared" ref="F18:F37" si="5">E18/E17-1</f>
        <v>-3.8668075901751697E-2</v>
      </c>
      <c r="G18" s="22">
        <f t="shared" ref="G18:G25" si="6">F18+1</f>
        <v>0.9613319240982483</v>
      </c>
      <c r="H18" s="1"/>
      <c r="I18" s="1"/>
    </row>
    <row r="19" spans="1:9">
      <c r="B19">
        <v>8000</v>
      </c>
      <c r="C19" s="38">
        <v>545974</v>
      </c>
      <c r="D19" s="37">
        <v>45231</v>
      </c>
      <c r="E19" s="2">
        <f t="shared" si="0"/>
        <v>68.246750000000006</v>
      </c>
      <c r="F19" s="1">
        <f t="shared" si="5"/>
        <v>-6.7910877110317847E-2</v>
      </c>
      <c r="G19" s="22">
        <f t="shared" si="6"/>
        <v>0.93208912288968215</v>
      </c>
      <c r="H19" s="1"/>
      <c r="I19" s="1"/>
    </row>
    <row r="20" spans="1:9">
      <c r="B20">
        <v>8000</v>
      </c>
      <c r="C20" s="38">
        <v>630785</v>
      </c>
      <c r="D20" s="59">
        <v>45261</v>
      </c>
      <c r="E20" s="2">
        <f t="shared" si="0"/>
        <v>78.848124999999996</v>
      </c>
      <c r="F20" s="1">
        <f t="shared" si="5"/>
        <v>0.15533889892192643</v>
      </c>
      <c r="G20" s="22">
        <f t="shared" si="6"/>
        <v>1.1553388989219264</v>
      </c>
      <c r="H20" s="1">
        <f>E20/E17-1</f>
        <v>3.5237988951509314E-2</v>
      </c>
      <c r="I20" s="1">
        <f>E20/E8-1</f>
        <v>-0.17477131673417268</v>
      </c>
    </row>
    <row r="21" spans="1:9">
      <c r="B21">
        <v>8000</v>
      </c>
      <c r="C21" s="38">
        <v>606777</v>
      </c>
      <c r="D21" s="58">
        <v>45292</v>
      </c>
      <c r="E21" s="2">
        <f t="shared" si="0"/>
        <v>75.847125000000005</v>
      </c>
      <c r="F21" s="1">
        <f t="shared" si="5"/>
        <v>-3.8060511901836458E-2</v>
      </c>
      <c r="G21" s="22">
        <f t="shared" si="6"/>
        <v>0.96193948809816354</v>
      </c>
      <c r="H21" s="1"/>
      <c r="I21" s="1"/>
    </row>
    <row r="22" spans="1:9">
      <c r="B22">
        <v>8000</v>
      </c>
      <c r="C22" s="38">
        <v>811963</v>
      </c>
      <c r="D22" s="37">
        <v>45323</v>
      </c>
      <c r="E22" s="2">
        <f t="shared" si="0"/>
        <v>101.495375</v>
      </c>
      <c r="F22" s="1">
        <f t="shared" si="5"/>
        <v>0.33815718130383954</v>
      </c>
      <c r="G22" s="22">
        <f t="shared" si="6"/>
        <v>1.3381571813038395</v>
      </c>
      <c r="H22" s="1"/>
      <c r="I22" s="1"/>
    </row>
    <row r="23" spans="1:9">
      <c r="B23">
        <v>8000</v>
      </c>
      <c r="C23" s="38">
        <v>610304</v>
      </c>
      <c r="D23" s="59">
        <v>45352</v>
      </c>
      <c r="E23" s="2">
        <f t="shared" si="0"/>
        <v>76.287999999999997</v>
      </c>
      <c r="F23" s="1">
        <f t="shared" si="5"/>
        <v>-0.24835983905670578</v>
      </c>
      <c r="G23" s="22">
        <f t="shared" si="6"/>
        <v>0.75164016094329422</v>
      </c>
      <c r="H23" s="1">
        <f>E23/E20-1</f>
        <v>-3.2469066322122431E-2</v>
      </c>
      <c r="I23" s="1">
        <f>E23/E20-1</f>
        <v>-3.2469066322122431E-2</v>
      </c>
    </row>
    <row r="24" spans="1:9">
      <c r="B24">
        <v>8000</v>
      </c>
      <c r="C24" s="68">
        <v>571946</v>
      </c>
      <c r="D24" s="58">
        <v>45383</v>
      </c>
      <c r="E24" s="2">
        <f t="shared" si="0"/>
        <v>71.493250000000003</v>
      </c>
      <c r="F24" s="1">
        <f t="shared" si="5"/>
        <v>-6.2850644924496546E-2</v>
      </c>
      <c r="G24" s="22">
        <f t="shared" si="6"/>
        <v>0.93714935507550345</v>
      </c>
      <c r="H24" s="1"/>
      <c r="I24" s="1"/>
    </row>
    <row r="25" spans="1:9">
      <c r="B25">
        <v>8000</v>
      </c>
      <c r="C25" s="38">
        <v>619522</v>
      </c>
      <c r="D25" s="37">
        <v>45413</v>
      </c>
      <c r="E25" s="2">
        <f t="shared" si="0"/>
        <v>77.440250000000006</v>
      </c>
      <c r="F25" s="1">
        <f t="shared" si="5"/>
        <v>8.3182678084994022E-2</v>
      </c>
      <c r="G25" s="22">
        <f t="shared" si="6"/>
        <v>1.083182678084994</v>
      </c>
      <c r="H25" s="1"/>
      <c r="I25" s="1"/>
    </row>
    <row r="26" spans="1:9">
      <c r="A26" s="70"/>
      <c r="B26">
        <v>8000</v>
      </c>
      <c r="C26" s="38">
        <v>543102</v>
      </c>
      <c r="D26" s="59">
        <v>45444</v>
      </c>
      <c r="E26" s="2">
        <f t="shared" si="0"/>
        <v>67.887749999999997</v>
      </c>
      <c r="F26" s="1">
        <f t="shared" si="5"/>
        <v>-0.12335316582784805</v>
      </c>
      <c r="G26" s="22">
        <f>F26+1</f>
        <v>0.87664683417215195</v>
      </c>
      <c r="H26" s="1">
        <f>E26/E23-1</f>
        <v>-0.11011233745805371</v>
      </c>
      <c r="I26" s="1">
        <f>E26/$E$20-1</f>
        <v>-0.13900615899236668</v>
      </c>
    </row>
    <row r="27" spans="1:9">
      <c r="A27" s="70"/>
      <c r="B27">
        <v>8000</v>
      </c>
      <c r="C27" s="38">
        <v>546043</v>
      </c>
      <c r="D27" s="58">
        <v>45474</v>
      </c>
      <c r="E27" s="2">
        <f t="shared" si="0"/>
        <v>68.255375000000001</v>
      </c>
      <c r="F27" s="1">
        <f t="shared" si="5"/>
        <v>5.4151890436788808E-3</v>
      </c>
      <c r="G27" s="22">
        <f>F27+1</f>
        <v>1.0054151890436789</v>
      </c>
      <c r="H27" s="1"/>
      <c r="I27" s="1"/>
    </row>
    <row r="28" spans="1:9">
      <c r="A28" s="70" t="s">
        <v>54</v>
      </c>
      <c r="B28">
        <v>7840</v>
      </c>
      <c r="C28" s="38">
        <f>461939.66</f>
        <v>461939.66</v>
      </c>
      <c r="D28" s="37">
        <v>45505</v>
      </c>
      <c r="E28" s="2">
        <f t="shared" si="0"/>
        <v>58.920874999999995</v>
      </c>
      <c r="F28" s="1">
        <f t="shared" si="5"/>
        <v>-0.13675846041428985</v>
      </c>
      <c r="G28" s="22">
        <f>F28+1</f>
        <v>0.86324153958571015</v>
      </c>
      <c r="H28" s="1"/>
      <c r="I28" s="1"/>
    </row>
    <row r="29" spans="1:9">
      <c r="A29" s="70"/>
      <c r="B29">
        <v>7683.2</v>
      </c>
      <c r="C29" s="38">
        <f>425921.08</f>
        <v>425921.08</v>
      </c>
      <c r="D29" s="76">
        <v>45536</v>
      </c>
      <c r="E29" s="2">
        <f t="shared" si="0"/>
        <v>55.435375885047897</v>
      </c>
      <c r="F29" s="1">
        <f t="shared" si="5"/>
        <v>-5.9155589847436851E-2</v>
      </c>
      <c r="G29" s="22">
        <f>F29+1</f>
        <v>0.94084441015256315</v>
      </c>
      <c r="H29" s="1">
        <f>E29/E26-1</f>
        <v>-0.18342593641639471</v>
      </c>
      <c r="I29" s="1">
        <f>E29/$E$20-1</f>
        <v>-0.29693476052794032</v>
      </c>
    </row>
    <row r="30" spans="1:9">
      <c r="A30" s="70"/>
      <c r="B30">
        <v>7529.5360000000001</v>
      </c>
      <c r="C30" s="38">
        <v>395178.29</v>
      </c>
      <c r="D30" s="37">
        <v>45566</v>
      </c>
      <c r="E30" s="2">
        <f t="shared" si="0"/>
        <v>52.483750658739126</v>
      </c>
      <c r="F30" s="1">
        <f t="shared" si="5"/>
        <v>-5.3244434247714523E-2</v>
      </c>
      <c r="G30" s="22">
        <f t="shared" ref="G30:G37" si="7">F30+1</f>
        <v>0.94675556575228548</v>
      </c>
      <c r="H30" s="1"/>
      <c r="I30" s="1"/>
    </row>
    <row r="31" spans="1:9">
      <c r="A31" s="70"/>
      <c r="B31">
        <v>7416.5929999999998</v>
      </c>
      <c r="C31" s="38">
        <v>521850.03</v>
      </c>
      <c r="D31" s="37">
        <v>45597</v>
      </c>
      <c r="E31" s="2">
        <f t="shared" si="0"/>
        <v>70.362500679220233</v>
      </c>
      <c r="F31" s="1">
        <f t="shared" si="5"/>
        <v>0.3406530553948528</v>
      </c>
      <c r="G31" s="22">
        <f t="shared" si="7"/>
        <v>1.3406530553948528</v>
      </c>
      <c r="H31" s="1"/>
      <c r="I31" s="1"/>
    </row>
    <row r="32" spans="1:9">
      <c r="A32" s="70"/>
      <c r="B32">
        <v>7327.5940000000001</v>
      </c>
      <c r="C32" s="38">
        <v>560847.63</v>
      </c>
      <c r="D32" s="76">
        <v>45627</v>
      </c>
      <c r="E32" s="2">
        <f t="shared" si="0"/>
        <v>76.539124574860452</v>
      </c>
      <c r="F32" s="1">
        <f t="shared" si="5"/>
        <v>8.7782893388044902E-2</v>
      </c>
      <c r="G32" s="22">
        <f t="shared" si="7"/>
        <v>1.0877828933880449</v>
      </c>
      <c r="H32" s="1">
        <f>E32/E29-1</f>
        <v>0.38069100015798196</v>
      </c>
      <c r="I32" s="1">
        <f>E32/$E$20-1</f>
        <v>-2.9284151337010789E-2</v>
      </c>
    </row>
    <row r="33" spans="1:9">
      <c r="A33" s="70"/>
      <c r="B33">
        <v>7254.3180000000002</v>
      </c>
      <c r="C33" s="38">
        <v>445031.56</v>
      </c>
      <c r="D33" s="37">
        <v>45658</v>
      </c>
      <c r="E33" s="2">
        <f t="shared" si="0"/>
        <v>61.347125946229539</v>
      </c>
      <c r="F33" s="1">
        <f t="shared" si="5"/>
        <v>-0.19848670484559972</v>
      </c>
      <c r="G33" s="22">
        <f t="shared" si="7"/>
        <v>0.80151329515440028</v>
      </c>
      <c r="H33" s="1"/>
      <c r="I33" s="1"/>
    </row>
    <row r="34" spans="1:9">
      <c r="A34" s="70"/>
      <c r="B34">
        <v>7254.3180000000002</v>
      </c>
      <c r="C34" s="38">
        <v>400034.83</v>
      </c>
      <c r="D34" s="37">
        <v>45689</v>
      </c>
      <c r="E34" s="2">
        <f t="shared" si="0"/>
        <v>55.144374702073996</v>
      </c>
      <c r="F34" s="1">
        <f t="shared" si="5"/>
        <v>-0.10110907639898603</v>
      </c>
      <c r="G34" s="22">
        <f t="shared" si="7"/>
        <v>0.89889092360101397</v>
      </c>
      <c r="H34" s="1"/>
      <c r="I34" s="1"/>
    </row>
    <row r="35" spans="1:9">
      <c r="B35">
        <v>7254.3180000000002</v>
      </c>
      <c r="C35" s="38">
        <v>369242.07</v>
      </c>
      <c r="D35" s="76">
        <v>45717</v>
      </c>
      <c r="E35" s="2">
        <f t="shared" si="0"/>
        <v>50.899625574726663</v>
      </c>
      <c r="F35" s="1">
        <f t="shared" si="5"/>
        <v>-7.6975197384687832E-2</v>
      </c>
      <c r="G35" s="22">
        <f t="shared" si="7"/>
        <v>0.92302480261531217</v>
      </c>
      <c r="H35" s="1">
        <f>E35/E32-1</f>
        <v>-0.33498552723916541</v>
      </c>
      <c r="I35" s="1">
        <f>E35/$E$32-1</f>
        <v>-0.33498552723916541</v>
      </c>
    </row>
    <row r="36" spans="1:9">
      <c r="B36" s="78">
        <v>7254.3180000000002</v>
      </c>
      <c r="C36" s="38">
        <v>324966.24</v>
      </c>
      <c r="D36" s="77">
        <v>45748</v>
      </c>
      <c r="E36" s="2">
        <f t="shared" si="0"/>
        <v>44.796249626774006</v>
      </c>
      <c r="F36" s="1">
        <f t="shared" si="5"/>
        <v>-0.11991003625345298</v>
      </c>
      <c r="G36" s="22">
        <f t="shared" si="7"/>
        <v>0.88008996374654702</v>
      </c>
    </row>
    <row r="37" spans="1:9">
      <c r="B37" s="78">
        <v>7254.3180000000002</v>
      </c>
      <c r="C37" s="38">
        <v>487550.92</v>
      </c>
      <c r="D37" s="37">
        <v>45778</v>
      </c>
      <c r="E37" s="2">
        <f t="shared" si="0"/>
        <v>67.208374377853303</v>
      </c>
      <c r="F37" s="1">
        <f t="shared" si="5"/>
        <v>0.50031252477180432</v>
      </c>
      <c r="G37" s="22">
        <f t="shared" si="7"/>
        <v>1.5003125247718043</v>
      </c>
      <c r="H37" s="1"/>
      <c r="I37" s="1"/>
    </row>
    <row r="38" spans="1:9">
      <c r="B38" s="78">
        <v>7254.3180000000002</v>
      </c>
      <c r="C38" s="38">
        <v>420944.5</v>
      </c>
      <c r="D38" s="76">
        <v>45809</v>
      </c>
      <c r="E38" s="2">
        <f t="shared" si="0"/>
        <v>58.026750412650777</v>
      </c>
      <c r="F38" s="1">
        <f>E38/E37-1</f>
        <v>-0.13661428430901135</v>
      </c>
      <c r="G38" s="22">
        <f>F38+1</f>
        <v>0.86338571569098865</v>
      </c>
      <c r="H38" s="1">
        <f>E38/E35-1</f>
        <v>0.14002312900044123</v>
      </c>
      <c r="I38" s="1">
        <f>E38/$E$32-1</f>
        <v>-0.24186811993261459</v>
      </c>
    </row>
    <row r="39" spans="1:9">
      <c r="B39" s="78">
        <v>2720.3690000000001</v>
      </c>
      <c r="C39" s="38">
        <v>139729.04</v>
      </c>
      <c r="D39" s="77">
        <v>45839</v>
      </c>
      <c r="E39" s="2">
        <f t="shared" si="0"/>
        <v>51.364002457019616</v>
      </c>
      <c r="F39" s="1">
        <f t="shared" ref="F39:F40" si="8">E39/E38-1</f>
        <v>-0.11482200723372882</v>
      </c>
      <c r="G39" s="22">
        <f t="shared" ref="G39:G41" si="9">F39+1</f>
        <v>0.88517799276627118</v>
      </c>
      <c r="H39" s="1"/>
      <c r="I39" s="1"/>
    </row>
    <row r="40" spans="1:9">
      <c r="B40" s="78">
        <v>2720.3690000000001</v>
      </c>
      <c r="C40" s="38">
        <v>128398.7</v>
      </c>
      <c r="D40" s="77">
        <v>45870</v>
      </c>
      <c r="E40" s="2">
        <f t="shared" si="0"/>
        <v>47.199001311954369</v>
      </c>
      <c r="F40" s="1">
        <f t="shared" si="8"/>
        <v>-8.1087939915711171E-2</v>
      </c>
      <c r="G40" s="22">
        <f t="shared" si="9"/>
        <v>0.91891206008428883</v>
      </c>
      <c r="H40" s="1"/>
      <c r="I40" s="1"/>
    </row>
    <row r="41" spans="1:9">
      <c r="B41" s="78">
        <v>2720.3690000000001</v>
      </c>
      <c r="C41" s="38">
        <v>190118.44</v>
      </c>
      <c r="D41" s="76">
        <v>45901</v>
      </c>
      <c r="E41" s="2">
        <f t="shared" si="0"/>
        <v>69.887004299784323</v>
      </c>
      <c r="F41" s="1">
        <f>E41/E40-1</f>
        <v>0.48068820011417546</v>
      </c>
      <c r="G41" s="22">
        <f t="shared" si="9"/>
        <v>1.4806882001141755</v>
      </c>
      <c r="H41" s="1">
        <f>E41/E38-1</f>
        <v>0.20439286713094695</v>
      </c>
      <c r="I41" s="1">
        <f>E41/$E$32-1</f>
        <v>-8.691137130226656E-2</v>
      </c>
    </row>
    <row r="42" spans="1:9">
      <c r="B42" s="78">
        <v>2720.3690000000001</v>
      </c>
      <c r="C42" s="38">
        <v>223151.88</v>
      </c>
      <c r="D42" s="77">
        <v>45931</v>
      </c>
      <c r="E42" s="2">
        <f t="shared" ref="E42:E43" si="10">C42/B42</f>
        <v>82.030004017837285</v>
      </c>
      <c r="F42" s="1">
        <f t="shared" ref="F42" si="11">E42/E41-1</f>
        <v>0.17375189907933186</v>
      </c>
      <c r="G42" s="22">
        <f t="shared" ref="G42:G43" si="12">F42+1</f>
        <v>1.1737518990793319</v>
      </c>
      <c r="H42" s="1"/>
      <c r="I42" s="1"/>
    </row>
    <row r="43" spans="1:9">
      <c r="B43" s="78">
        <v>2720.3690000000001</v>
      </c>
      <c r="C43" s="38">
        <v>240113.38</v>
      </c>
      <c r="D43" s="77">
        <v>45962</v>
      </c>
      <c r="E43" s="2">
        <f t="shared" si="10"/>
        <v>88.265003755005296</v>
      </c>
      <c r="F43" s="1">
        <f>E43/E42-1</f>
        <v>7.6008770349593302E-2</v>
      </c>
      <c r="G43" s="22">
        <f t="shared" si="12"/>
        <v>1.0760087703495933</v>
      </c>
      <c r="H43" s="1"/>
      <c r="I43" s="1"/>
    </row>
    <row r="44" spans="1:9">
      <c r="B44" s="78">
        <v>2720.3690000000001</v>
      </c>
      <c r="C44" s="38">
        <v>250978.54</v>
      </c>
      <c r="D44" s="76">
        <v>45992</v>
      </c>
      <c r="E44" s="2">
        <f>C44/B44</f>
        <v>92.259006039254231</v>
      </c>
      <c r="F44" s="1">
        <f>E44/E43-1</f>
        <v>4.5250123087684724E-2</v>
      </c>
      <c r="G44" s="22">
        <f>F44+1</f>
        <v>1.0452501230876847</v>
      </c>
      <c r="H44" s="1">
        <f>E44/E41-1</f>
        <v>0.32011676510705644</v>
      </c>
      <c r="I44" s="1">
        <f t="shared" ref="I44" si="13">E44/$E$32-1</f>
        <v>0.20538360677249012</v>
      </c>
    </row>
    <row r="45" spans="1:9">
      <c r="B45" s="78"/>
      <c r="C45" s="38"/>
      <c r="D45" s="76"/>
      <c r="E45" s="2"/>
      <c r="F45" s="1"/>
      <c r="G45" s="22"/>
      <c r="H45" s="1"/>
      <c r="I45" s="1"/>
    </row>
    <row r="46" spans="1:9" ht="16.8" thickBot="1">
      <c r="C46" s="38"/>
      <c r="D46" s="37"/>
      <c r="F46" s="27"/>
      <c r="I46" s="1"/>
    </row>
    <row r="47" spans="1:9">
      <c r="C47" s="38"/>
      <c r="E47" s="82" t="s">
        <v>4</v>
      </c>
      <c r="F47" s="83"/>
    </row>
    <row r="48" spans="1:9">
      <c r="C48" s="38"/>
      <c r="E48" s="84"/>
      <c r="F48" s="85"/>
      <c r="H48" s="1"/>
    </row>
    <row r="49" spans="3:19">
      <c r="C49" s="38"/>
      <c r="E49" s="14" t="s">
        <v>6</v>
      </c>
      <c r="F49" s="23">
        <v>44749</v>
      </c>
      <c r="H49" s="66"/>
    </row>
    <row r="50" spans="3:19">
      <c r="C50" s="38"/>
      <c r="E50" s="14" t="s">
        <v>7</v>
      </c>
      <c r="F50" s="23">
        <v>46022</v>
      </c>
      <c r="H50" s="66"/>
    </row>
    <row r="51" spans="3:19">
      <c r="C51" s="38"/>
      <c r="E51" s="61" t="s">
        <v>1</v>
      </c>
      <c r="F51" s="4">
        <f>(E44-100)/100</f>
        <v>-7.7409939607457692E-2</v>
      </c>
      <c r="G51" s="64" t="str">
        <f ca="1">_xlfn.FORMULATEXT(F51)</f>
        <v>=(E44-100)/100</v>
      </c>
      <c r="P51" s="12"/>
      <c r="Q51" s="19"/>
      <c r="S51" s="29"/>
    </row>
    <row r="52" spans="3:19">
      <c r="E52" s="62" t="s">
        <v>2</v>
      </c>
      <c r="F52" s="4">
        <f>(E44-E32)/E32</f>
        <v>0.20538360677249018</v>
      </c>
      <c r="G52" s="64" t="str">
        <f t="shared" ref="G52:G66" ca="1" si="14">_xlfn.FORMULATEXT(F52)</f>
        <v>=(E44-E32)/E32</v>
      </c>
      <c r="P52" s="12"/>
      <c r="Q52" s="19"/>
    </row>
    <row r="53" spans="3:19">
      <c r="E53" s="62" t="s">
        <v>36</v>
      </c>
      <c r="F53" s="4">
        <f>STDEVA(F3:F44)</f>
        <v>0.15937773934523236</v>
      </c>
      <c r="G53" s="64" t="str">
        <f t="shared" ca="1" si="14"/>
        <v>=STDEVA(F3:F44)</v>
      </c>
      <c r="J53" s="73" t="s">
        <v>9</v>
      </c>
      <c r="K53" t="s">
        <v>42</v>
      </c>
      <c r="P53" s="30" t="s">
        <v>32</v>
      </c>
      <c r="Q53" s="47">
        <f>F51</f>
        <v>-7.7409939607457692E-2</v>
      </c>
    </row>
    <row r="54" spans="3:19">
      <c r="E54" s="62" t="s">
        <v>35</v>
      </c>
      <c r="F54" s="4">
        <f>STDEVA(F33:F44)</f>
        <v>0.23569695592935913</v>
      </c>
      <c r="G54" s="64" t="str">
        <f t="shared" ca="1" si="14"/>
        <v>=STDEVA(F33:F44)</v>
      </c>
      <c r="J54" s="80">
        <f>AVERAGE(K56:K67)</f>
        <v>4.2294083333333328</v>
      </c>
      <c r="M54" s="13"/>
      <c r="P54" s="29" t="s">
        <v>33</v>
      </c>
      <c r="Q54" s="47">
        <f>F52</f>
        <v>0.20538360677249018</v>
      </c>
    </row>
    <row r="55" spans="3:19">
      <c r="C55" s="6"/>
      <c r="E55" s="62" t="s">
        <v>13</v>
      </c>
      <c r="F55" s="7">
        <f>F50-F49</f>
        <v>1273</v>
      </c>
      <c r="G55" t="str">
        <f ca="1">_xlfn.FORMULATEXT(F55)</f>
        <v>=F50-F49</v>
      </c>
      <c r="J55" s="5" t="s">
        <v>10</v>
      </c>
      <c r="K55" s="65" t="s">
        <v>48</v>
      </c>
      <c r="L55" s="5"/>
      <c r="M55" s="13"/>
      <c r="P55" s="30" t="s">
        <v>20</v>
      </c>
      <c r="Q55" s="47">
        <f>F56</f>
        <v>-2.2757139848714636E-2</v>
      </c>
    </row>
    <row r="56" spans="3:19">
      <c r="E56" s="62" t="s">
        <v>12</v>
      </c>
      <c r="F56" s="4">
        <f>(PRODUCT(G3:G44))^(12/COUNT(G3:G44))-1</f>
        <v>-2.2757139848714636E-2</v>
      </c>
      <c r="G56" s="64" t="str">
        <f t="shared" ca="1" si="14"/>
        <v>=(PRODUCT(G3:G44))^(12/COUNT(G3:G44))-1</v>
      </c>
      <c r="J56" s="79">
        <v>46022</v>
      </c>
      <c r="K56">
        <v>4.1669999999999998</v>
      </c>
      <c r="L56" s="5"/>
      <c r="M56" s="13"/>
      <c r="P56" s="29" t="s">
        <v>45</v>
      </c>
      <c r="Q56" s="48">
        <f>F65</f>
        <v>0.38095238095238093</v>
      </c>
    </row>
    <row r="57" spans="3:19">
      <c r="E57" s="62" t="s">
        <v>47</v>
      </c>
      <c r="F57" s="8">
        <f>MAX(F3:F44)</f>
        <v>0.50031252477180432</v>
      </c>
      <c r="G57" s="64" t="str">
        <f t="shared" ca="1" si="14"/>
        <v>=MAX(F3:F44)</v>
      </c>
      <c r="J57" s="13">
        <v>45989</v>
      </c>
      <c r="K57">
        <v>4.0132000000000003</v>
      </c>
      <c r="M57" s="13"/>
      <c r="P57" s="30" t="s">
        <v>43</v>
      </c>
      <c r="Q57" s="48">
        <f>F66</f>
        <v>0.61904761904761907</v>
      </c>
    </row>
    <row r="58" spans="3:19">
      <c r="E58" s="62" t="s">
        <v>44</v>
      </c>
      <c r="F58" s="8">
        <f>MIN(F3:F44)</f>
        <v>-0.24835983905670578</v>
      </c>
      <c r="G58" s="64" t="str">
        <f t="shared" ca="1" si="14"/>
        <v>=MIN(F3:F44)</v>
      </c>
      <c r="J58" s="79">
        <v>45961</v>
      </c>
      <c r="K58">
        <v>4.0774999999999997</v>
      </c>
      <c r="M58" s="13"/>
      <c r="P58" s="29" t="s">
        <v>21</v>
      </c>
      <c r="Q58" s="47">
        <f>F59</f>
        <v>0.55210068428282344</v>
      </c>
    </row>
    <row r="59" spans="3:19">
      <c r="E59" s="62" t="s">
        <v>17</v>
      </c>
      <c r="F59" s="4">
        <f>F53*SQRT(12)</f>
        <v>0.55210068428282344</v>
      </c>
      <c r="G59" t="str">
        <f ca="1">_xlfn.FORMULATEXT(F59)</f>
        <v>=F53*SQRT(12)</v>
      </c>
      <c r="J59" s="79">
        <v>45930</v>
      </c>
      <c r="K59">
        <v>4.1502999999999997</v>
      </c>
      <c r="M59" s="13"/>
      <c r="P59" s="30" t="s">
        <v>22</v>
      </c>
      <c r="Q59" s="49">
        <f>F62</f>
        <v>-0.11782492765164608</v>
      </c>
    </row>
    <row r="60" spans="3:19">
      <c r="E60" s="62" t="s">
        <v>18</v>
      </c>
      <c r="F60" s="4">
        <f>F54*SQRT(12)</f>
        <v>0.81647820571794505</v>
      </c>
      <c r="G60" t="str">
        <f t="shared" ca="1" si="14"/>
        <v>=F54*SQRT(12)</v>
      </c>
      <c r="J60" s="13">
        <v>45898</v>
      </c>
      <c r="K60">
        <v>4.2283999999999997</v>
      </c>
      <c r="L60" s="5"/>
      <c r="M60" s="13"/>
      <c r="P60" s="29"/>
      <c r="Q60" s="35"/>
    </row>
    <row r="61" spans="3:19">
      <c r="E61" s="71" t="s">
        <v>5</v>
      </c>
      <c r="F61" s="74">
        <f>J54/100</f>
        <v>4.2294083333333329E-2</v>
      </c>
      <c r="G61" t="str">
        <f t="shared" ca="1" si="14"/>
        <v>=J54/100</v>
      </c>
      <c r="J61" s="79">
        <v>45868</v>
      </c>
      <c r="K61">
        <v>4.3739999999999997</v>
      </c>
      <c r="L61" s="5"/>
      <c r="M61" s="13"/>
      <c r="Q61" s="46"/>
    </row>
    <row r="62" spans="3:19">
      <c r="E62" s="71" t="s">
        <v>3</v>
      </c>
      <c r="F62" s="72">
        <f>(F56-F61)/F59</f>
        <v>-0.11782492765164608</v>
      </c>
      <c r="G62" t="str">
        <f t="shared" ca="1" si="14"/>
        <v>=(F56-F61)/F59</v>
      </c>
      <c r="J62" s="13">
        <v>45838</v>
      </c>
      <c r="K62">
        <v>4.2279999999999998</v>
      </c>
      <c r="L62" s="5"/>
      <c r="M62" s="13"/>
      <c r="P62" s="12"/>
      <c r="Q62" s="19"/>
    </row>
    <row r="63" spans="3:19">
      <c r="E63" s="62" t="s">
        <v>19</v>
      </c>
      <c r="F63" s="4">
        <f>E36/E32-1</f>
        <v>-0.41472743677698798</v>
      </c>
      <c r="G63" s="64" t="str">
        <f t="shared" ca="1" si="14"/>
        <v>=E36/E32-1</v>
      </c>
      <c r="J63" s="13">
        <v>45807</v>
      </c>
      <c r="K63">
        <v>4.4004000000000003</v>
      </c>
      <c r="L63" s="5"/>
      <c r="M63" s="13"/>
    </row>
    <row r="64" spans="3:19">
      <c r="E64" s="62" t="s">
        <v>14</v>
      </c>
      <c r="F64" s="7">
        <f>COUNT(F3:F44)</f>
        <v>42</v>
      </c>
      <c r="G64" s="64" t="str">
        <f t="shared" ca="1" si="14"/>
        <v>=COUNT(F3:F44)</v>
      </c>
      <c r="J64" s="79">
        <v>45777</v>
      </c>
      <c r="K64">
        <v>4.1619000000000002</v>
      </c>
      <c r="L64" s="5"/>
      <c r="M64" s="13"/>
    </row>
    <row r="65" spans="5:13">
      <c r="E65" s="62" t="s">
        <v>15</v>
      </c>
      <c r="F65" s="51">
        <f>COUNTIF(F3:F44,"&gt;0")/F64</f>
        <v>0.38095238095238093</v>
      </c>
      <c r="G65" s="64" t="str">
        <f t="shared" ca="1" si="14"/>
        <v>=COUNTIF(F3:F44,"&gt;0")/F64</v>
      </c>
      <c r="J65" s="13">
        <v>45747</v>
      </c>
      <c r="K65" s="65">
        <v>4.2053000000000003</v>
      </c>
      <c r="L65" s="5"/>
      <c r="M65" s="13"/>
    </row>
    <row r="66" spans="5:13" ht="16.8" thickBot="1">
      <c r="E66" s="63" t="s">
        <v>16</v>
      </c>
      <c r="F66" s="53">
        <f>COUNTIF(F3:F44,"&lt;0")/F64</f>
        <v>0.61904761904761907</v>
      </c>
      <c r="G66" s="64" t="str">
        <f t="shared" ca="1" si="14"/>
        <v>=COUNTIF(F3:F44,"&lt;0")/F64</v>
      </c>
      <c r="J66" s="13">
        <v>45716</v>
      </c>
      <c r="K66" s="65">
        <v>4.2081999999999997</v>
      </c>
      <c r="L66" s="5"/>
      <c r="M66" s="13"/>
    </row>
    <row r="67" spans="5:13">
      <c r="J67" s="13">
        <v>45688</v>
      </c>
      <c r="K67" s="65">
        <v>4.5387000000000004</v>
      </c>
      <c r="L67" s="5"/>
      <c r="M67" s="13"/>
    </row>
    <row r="68" spans="5:13">
      <c r="J68" s="13">
        <v>45657</v>
      </c>
      <c r="K68" s="65">
        <v>4.569</v>
      </c>
      <c r="L68" s="5"/>
      <c r="M68" s="13"/>
    </row>
    <row r="69" spans="5:13">
      <c r="J69" s="13">
        <v>45625</v>
      </c>
      <c r="K69" s="65">
        <v>4.1684999999999999</v>
      </c>
      <c r="L69" s="5"/>
      <c r="M69" s="13"/>
    </row>
    <row r="70" spans="5:13">
      <c r="J70" s="13">
        <v>45596</v>
      </c>
      <c r="K70" s="65">
        <v>4.2843999999999998</v>
      </c>
      <c r="L70" s="5"/>
      <c r="M70" s="13"/>
    </row>
    <row r="71" spans="5:13">
      <c r="J71" s="13">
        <v>45565</v>
      </c>
      <c r="K71" s="65">
        <v>3.7808999999999999</v>
      </c>
      <c r="L71" s="5"/>
      <c r="M71" s="13"/>
    </row>
    <row r="72" spans="5:13">
      <c r="J72" s="13">
        <v>45534</v>
      </c>
      <c r="K72">
        <v>3.9034</v>
      </c>
      <c r="M72" s="13"/>
    </row>
    <row r="73" spans="5:13">
      <c r="J73" s="13">
        <v>45504</v>
      </c>
      <c r="K73">
        <v>4.0296000000000003</v>
      </c>
      <c r="M73" s="13"/>
    </row>
    <row r="74" spans="5:13">
      <c r="J74" s="13">
        <v>45471</v>
      </c>
      <c r="K74">
        <v>4.3960999999999997</v>
      </c>
      <c r="M74" s="13"/>
    </row>
    <row r="75" spans="5:13">
      <c r="J75" s="13">
        <v>45443</v>
      </c>
      <c r="K75">
        <v>4.4984999999999999</v>
      </c>
      <c r="M75" s="13"/>
    </row>
    <row r="76" spans="5:13">
      <c r="J76" s="13">
        <v>45412</v>
      </c>
      <c r="K76">
        <v>4.6798000000000002</v>
      </c>
      <c r="M76" s="13"/>
    </row>
    <row r="77" spans="5:13">
      <c r="J77" s="13">
        <v>45380</v>
      </c>
      <c r="K77">
        <v>4.2003000000000004</v>
      </c>
      <c r="M77" s="13"/>
    </row>
    <row r="78" spans="5:13">
      <c r="J78" s="13">
        <v>45351</v>
      </c>
      <c r="K78">
        <v>4.2502000000000004</v>
      </c>
    </row>
    <row r="79" spans="5:13">
      <c r="J79" s="13">
        <v>45322</v>
      </c>
      <c r="K79">
        <v>3.9123999999999999</v>
      </c>
    </row>
    <row r="80" spans="5:13">
      <c r="J80" s="13">
        <v>45289</v>
      </c>
      <c r="K80">
        <v>3.8791000000000002</v>
      </c>
    </row>
    <row r="81" spans="10:11">
      <c r="J81" s="13">
        <v>45260</v>
      </c>
      <c r="K81">
        <v>4.3263999999999996</v>
      </c>
    </row>
    <row r="82" spans="10:11">
      <c r="J82" s="13">
        <v>45230</v>
      </c>
      <c r="K82">
        <v>4.9306999999999999</v>
      </c>
    </row>
    <row r="83" spans="10:11">
      <c r="J83" s="13">
        <v>45198</v>
      </c>
      <c r="K83">
        <v>4.5711000000000004</v>
      </c>
    </row>
    <row r="84" spans="10:11">
      <c r="J84" s="13">
        <v>45169</v>
      </c>
      <c r="K84">
        <v>4.1081000000000003</v>
      </c>
    </row>
    <row r="85" spans="10:11">
      <c r="J85" s="13">
        <v>45138</v>
      </c>
      <c r="K85">
        <v>3.9588000000000001</v>
      </c>
    </row>
    <row r="86" spans="10:11">
      <c r="J86" s="13">
        <v>45107</v>
      </c>
      <c r="K86">
        <v>3.8367</v>
      </c>
    </row>
    <row r="87" spans="10:11">
      <c r="J87" s="13">
        <v>45077</v>
      </c>
      <c r="K87">
        <v>3.6425999999999998</v>
      </c>
    </row>
    <row r="88" spans="10:11">
      <c r="J88" s="13">
        <v>45044</v>
      </c>
      <c r="K88">
        <v>3.4220000000000002</v>
      </c>
    </row>
    <row r="89" spans="10:11">
      <c r="J89" s="13">
        <v>45016</v>
      </c>
      <c r="K89" s="5">
        <v>3.4676</v>
      </c>
    </row>
    <row r="90" spans="10:11">
      <c r="J90" s="13">
        <v>44985</v>
      </c>
      <c r="K90" s="5">
        <v>3.92</v>
      </c>
    </row>
    <row r="91" spans="10:11">
      <c r="J91" s="13">
        <v>44957</v>
      </c>
      <c r="K91" s="5">
        <v>3.5068999999999999</v>
      </c>
    </row>
    <row r="92" spans="10:11">
      <c r="J92" s="13">
        <v>44925</v>
      </c>
      <c r="K92" s="5">
        <v>3.8748</v>
      </c>
    </row>
    <row r="93" spans="10:11">
      <c r="J93" s="13">
        <v>44895</v>
      </c>
      <c r="K93" s="5">
        <v>3.6053999999999999</v>
      </c>
    </row>
    <row r="94" spans="10:11">
      <c r="J94" s="25">
        <v>44865</v>
      </c>
      <c r="K94" s="5">
        <v>4.0477999999999996</v>
      </c>
    </row>
    <row r="95" spans="10:11">
      <c r="J95" s="13">
        <v>44834</v>
      </c>
      <c r="K95" s="5">
        <v>3.8285999999999998</v>
      </c>
    </row>
    <row r="96" spans="10:11">
      <c r="J96" s="13">
        <v>44804</v>
      </c>
      <c r="K96" s="5">
        <v>3.1926000000000001</v>
      </c>
    </row>
    <row r="97" spans="10:11">
      <c r="J97" s="13">
        <v>44772</v>
      </c>
      <c r="K97" s="5">
        <v>2.6486999999999998</v>
      </c>
    </row>
    <row r="98" spans="10:11">
      <c r="J98" s="13">
        <v>44742</v>
      </c>
      <c r="K98" s="5">
        <v>3.0129000000000001</v>
      </c>
    </row>
    <row r="99" spans="10:11">
      <c r="J99" s="13">
        <v>44711</v>
      </c>
      <c r="K99" s="5">
        <v>2.8441000000000001</v>
      </c>
    </row>
    <row r="100" spans="10:11">
      <c r="J100" s="13">
        <v>44680</v>
      </c>
      <c r="K100" s="5">
        <v>2.9336000000000002</v>
      </c>
    </row>
    <row r="101" spans="10:11">
      <c r="J101" s="13">
        <v>44651</v>
      </c>
      <c r="K101" s="5">
        <v>2.3433999999999999</v>
      </c>
    </row>
    <row r="102" spans="10:11">
      <c r="J102" s="13">
        <v>44620</v>
      </c>
      <c r="K102" s="5">
        <v>1.825</v>
      </c>
    </row>
    <row r="103" spans="10:11">
      <c r="J103" s="13">
        <v>44592</v>
      </c>
      <c r="K103" s="5">
        <v>1.7766999999999999</v>
      </c>
    </row>
    <row r="104" spans="10:11">
      <c r="J104" s="13">
        <v>44561</v>
      </c>
      <c r="K104" s="5">
        <v>1.5101</v>
      </c>
    </row>
    <row r="105" spans="10:11">
      <c r="J105" s="13">
        <v>44530</v>
      </c>
      <c r="K105" s="5">
        <v>1.4442999999999999</v>
      </c>
    </row>
    <row r="106" spans="10:11">
      <c r="J106" s="13">
        <v>44498</v>
      </c>
      <c r="K106" s="5">
        <v>1.5521</v>
      </c>
    </row>
    <row r="107" spans="10:11">
      <c r="J107" s="13" t="s">
        <v>24</v>
      </c>
      <c r="K107" s="5">
        <v>1.4873000000000001</v>
      </c>
    </row>
    <row r="108" spans="10:11">
      <c r="J108" s="13">
        <v>44439</v>
      </c>
      <c r="K108" s="5">
        <v>1.3088</v>
      </c>
    </row>
    <row r="109" spans="10:11">
      <c r="J109" s="13">
        <v>44408</v>
      </c>
      <c r="K109" s="5">
        <v>1.2222999999999999</v>
      </c>
    </row>
    <row r="110" spans="10:11">
      <c r="J110" s="13">
        <v>44377</v>
      </c>
      <c r="K110" s="5">
        <v>1.468</v>
      </c>
    </row>
    <row r="111" spans="10:11">
      <c r="J111" s="13">
        <v>44347</v>
      </c>
      <c r="K111" s="5">
        <v>1.5943000000000001</v>
      </c>
    </row>
    <row r="112" spans="10:11">
      <c r="J112" s="13">
        <v>44316</v>
      </c>
      <c r="K112" s="5">
        <v>1.6259000000000001</v>
      </c>
    </row>
    <row r="113" spans="10:11">
      <c r="J113" s="13">
        <v>44286</v>
      </c>
      <c r="K113" s="5">
        <v>1.7403999999999999</v>
      </c>
    </row>
    <row r="114" spans="10:11">
      <c r="J114" s="13">
        <v>44253</v>
      </c>
      <c r="K114" s="5">
        <v>1.4049</v>
      </c>
    </row>
    <row r="115" spans="10:11">
      <c r="J115" s="13">
        <v>44225</v>
      </c>
      <c r="K115" s="5">
        <v>1.0655000000000001</v>
      </c>
    </row>
    <row r="116" spans="10:11">
      <c r="J116" s="13">
        <v>44196</v>
      </c>
      <c r="K116" s="5">
        <v>0.91320000000000001</v>
      </c>
    </row>
    <row r="117" spans="10:11">
      <c r="J117" s="13">
        <v>44165</v>
      </c>
      <c r="K117" s="5">
        <v>0.83889999999999998</v>
      </c>
    </row>
    <row r="118" spans="10:11">
      <c r="J118" s="13">
        <v>44134</v>
      </c>
      <c r="K118" s="5">
        <v>0.87370000000000003</v>
      </c>
    </row>
    <row r="119" spans="10:11">
      <c r="J119" s="13">
        <v>44104</v>
      </c>
      <c r="K119" s="5">
        <v>0.68400000000000005</v>
      </c>
    </row>
    <row r="120" spans="10:11">
      <c r="J120" s="13">
        <v>44074</v>
      </c>
      <c r="K120" s="5">
        <v>0.70479999999999998</v>
      </c>
    </row>
    <row r="121" spans="10:11">
      <c r="J121" s="13">
        <v>44043</v>
      </c>
      <c r="K121" s="5">
        <v>0.5282</v>
      </c>
    </row>
    <row r="122" spans="10:11">
      <c r="J122" s="13">
        <v>44012</v>
      </c>
      <c r="K122" s="5">
        <v>0.65610000000000002</v>
      </c>
    </row>
  </sheetData>
  <mergeCells count="1">
    <mergeCell ref="E47:F48"/>
  </mergeCells>
  <phoneticPr fontId="30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26D50-8F71-40B2-BA0D-389AEF2DB1D2}">
  <dimension ref="A1:AG115"/>
  <sheetViews>
    <sheetView topLeftCell="A16" zoomScale="85" zoomScaleNormal="85" workbookViewId="0">
      <selection activeCell="M34" sqref="M34"/>
    </sheetView>
  </sheetViews>
  <sheetFormatPr defaultRowHeight="16.2"/>
  <cols>
    <col min="1" max="1" width="31.5546875" customWidth="1"/>
    <col min="2" max="2" width="17.33203125" bestFit="1" customWidth="1"/>
    <col min="3" max="3" width="16.21875" customWidth="1"/>
    <col min="4" max="4" width="17" customWidth="1"/>
    <col min="5" max="5" width="28" customWidth="1"/>
    <col min="6" max="6" width="21.44140625" customWidth="1"/>
    <col min="7" max="7" width="20.44140625" customWidth="1"/>
    <col min="8" max="9" width="15.77734375" customWidth="1"/>
    <col min="10" max="10" width="14.88671875" customWidth="1"/>
    <col min="13" max="13" width="10.6640625" bestFit="1" customWidth="1"/>
    <col min="16" max="16" width="27.21875" customWidth="1"/>
    <col min="17" max="17" width="10" bestFit="1" customWidth="1"/>
    <col min="19" max="19" width="27.109375" customWidth="1"/>
    <col min="20" max="20" width="9.44140625" bestFit="1" customWidth="1"/>
  </cols>
  <sheetData>
    <row r="1" spans="2:33">
      <c r="B1" t="s">
        <v>55</v>
      </c>
      <c r="C1" s="75" t="s">
        <v>53</v>
      </c>
      <c r="E1" t="s">
        <v>0</v>
      </c>
      <c r="F1" t="s">
        <v>8</v>
      </c>
      <c r="H1" s="67" t="s">
        <v>56</v>
      </c>
      <c r="I1" s="67" t="s">
        <v>50</v>
      </c>
    </row>
    <row r="2" spans="2:33">
      <c r="D2" t="s">
        <v>25</v>
      </c>
      <c r="E2">
        <v>100</v>
      </c>
    </row>
    <row r="3" spans="2:33">
      <c r="B3">
        <v>5000</v>
      </c>
      <c r="C3" s="38">
        <v>515058.38</v>
      </c>
      <c r="D3" s="37">
        <v>44749</v>
      </c>
      <c r="E3" s="2">
        <f>C3/B3</f>
        <v>103.01167599999999</v>
      </c>
      <c r="F3" s="1">
        <f>(E3-100)/100</f>
        <v>3.0116759999999944E-2</v>
      </c>
      <c r="G3" s="22">
        <f>F3+1</f>
        <v>1.0301167599999999</v>
      </c>
    </row>
    <row r="4" spans="2:33">
      <c r="B4">
        <v>5000</v>
      </c>
      <c r="C4" s="38">
        <v>526213.68000000005</v>
      </c>
      <c r="D4" s="37">
        <v>44780</v>
      </c>
      <c r="E4" s="2">
        <f t="shared" ref="E4:E41" si="0">C4/B4</f>
        <v>105.24273600000001</v>
      </c>
      <c r="F4" s="1">
        <f>E4/E3-1</f>
        <v>2.1658321528522873E-2</v>
      </c>
      <c r="G4" s="22">
        <f>F4+1</f>
        <v>1.0216583215285229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2:33">
      <c r="B5">
        <v>5000</v>
      </c>
      <c r="C5" s="38">
        <v>499085</v>
      </c>
      <c r="D5" s="54">
        <v>44811</v>
      </c>
      <c r="E5" s="2">
        <f t="shared" si="0"/>
        <v>99.816999999999993</v>
      </c>
      <c r="F5" s="1">
        <f t="shared" ref="F5:F14" si="1">E5/E4-1</f>
        <v>-5.1554493984269034E-2</v>
      </c>
      <c r="G5" s="22">
        <f>F5+1</f>
        <v>0.94844550601573097</v>
      </c>
    </row>
    <row r="6" spans="2:33">
      <c r="B6">
        <v>8000</v>
      </c>
      <c r="C6" s="38">
        <v>784518</v>
      </c>
      <c r="D6" s="37">
        <v>44835</v>
      </c>
      <c r="E6" s="2">
        <f t="shared" si="0"/>
        <v>98.064750000000004</v>
      </c>
      <c r="F6" s="1">
        <f t="shared" si="1"/>
        <v>-1.755462496368343E-2</v>
      </c>
      <c r="G6" s="22">
        <f t="shared" ref="G6:G13" si="2">F6+1</f>
        <v>0.98244537503631657</v>
      </c>
    </row>
    <row r="7" spans="2:33">
      <c r="B7">
        <v>8000</v>
      </c>
      <c r="C7" s="38">
        <v>788818</v>
      </c>
      <c r="D7" s="37">
        <v>44866</v>
      </c>
      <c r="E7" s="2">
        <f t="shared" si="0"/>
        <v>98.602249999999998</v>
      </c>
      <c r="F7" s="1">
        <f t="shared" si="1"/>
        <v>5.4810724546792144E-3</v>
      </c>
      <c r="G7" s="22">
        <f t="shared" si="2"/>
        <v>1.0054810724546792</v>
      </c>
    </row>
    <row r="8" spans="2:33">
      <c r="B8">
        <v>8000</v>
      </c>
      <c r="C8" s="38">
        <v>764376</v>
      </c>
      <c r="D8" s="54">
        <v>44896</v>
      </c>
      <c r="E8" s="2">
        <f t="shared" si="0"/>
        <v>95.546999999999997</v>
      </c>
      <c r="F8" s="1">
        <f t="shared" si="1"/>
        <v>-3.0985601241350968E-2</v>
      </c>
      <c r="G8" s="22">
        <f t="shared" si="2"/>
        <v>0.96901439875864903</v>
      </c>
      <c r="I8" s="1">
        <f>E8/E2-1</f>
        <v>-4.453000000000007E-2</v>
      </c>
    </row>
    <row r="9" spans="2:33">
      <c r="B9">
        <v>8000</v>
      </c>
      <c r="C9" s="38">
        <v>743817</v>
      </c>
      <c r="D9" s="37">
        <v>44927</v>
      </c>
      <c r="E9" s="2">
        <f t="shared" si="0"/>
        <v>92.977125000000001</v>
      </c>
      <c r="F9" s="1">
        <f t="shared" si="1"/>
        <v>-2.6896448868096279E-2</v>
      </c>
      <c r="G9" s="22">
        <f t="shared" si="2"/>
        <v>0.97310355113190372</v>
      </c>
      <c r="I9" s="1"/>
    </row>
    <row r="10" spans="2:33">
      <c r="B10">
        <v>8000</v>
      </c>
      <c r="C10" s="38">
        <v>689680</v>
      </c>
      <c r="D10" s="37">
        <v>44958</v>
      </c>
      <c r="E10" s="2">
        <f t="shared" si="0"/>
        <v>86.21</v>
      </c>
      <c r="F10" s="1">
        <f t="shared" si="1"/>
        <v>-7.2782687139444358E-2</v>
      </c>
      <c r="G10" s="22">
        <f t="shared" si="2"/>
        <v>0.92721731286055564</v>
      </c>
      <c r="I10" s="1"/>
    </row>
    <row r="11" spans="2:33">
      <c r="B11">
        <v>8000</v>
      </c>
      <c r="C11" s="38">
        <v>671320</v>
      </c>
      <c r="D11" s="54">
        <v>44986</v>
      </c>
      <c r="E11" s="2">
        <f t="shared" si="0"/>
        <v>83.915000000000006</v>
      </c>
      <c r="F11" s="1">
        <f t="shared" si="1"/>
        <v>-2.6621041642500676E-2</v>
      </c>
      <c r="G11" s="22">
        <f t="shared" si="2"/>
        <v>0.97337895835749932</v>
      </c>
      <c r="H11" s="1">
        <f>E11/E8-1</f>
        <v>-0.12174113263629405</v>
      </c>
      <c r="I11" s="1"/>
    </row>
    <row r="12" spans="2:33">
      <c r="B12">
        <v>8000</v>
      </c>
      <c r="C12" s="38">
        <v>629655</v>
      </c>
      <c r="D12" s="58">
        <v>45017</v>
      </c>
      <c r="E12" s="2">
        <f t="shared" si="0"/>
        <v>78.706874999999997</v>
      </c>
      <c r="F12" s="1">
        <f t="shared" si="1"/>
        <v>-6.2064291247095338E-2</v>
      </c>
      <c r="G12" s="22">
        <f t="shared" si="2"/>
        <v>0.93793570875290466</v>
      </c>
      <c r="H12" s="1"/>
      <c r="I12" s="1"/>
    </row>
    <row r="13" spans="2:33">
      <c r="B13">
        <v>8000</v>
      </c>
      <c r="C13" s="38">
        <v>615713</v>
      </c>
      <c r="D13" s="37">
        <v>45047</v>
      </c>
      <c r="E13" s="2">
        <f t="shared" si="0"/>
        <v>76.964124999999996</v>
      </c>
      <c r="F13" s="1">
        <f t="shared" si="1"/>
        <v>-2.2142284266780998E-2</v>
      </c>
      <c r="G13" s="22">
        <f t="shared" si="2"/>
        <v>0.977857715733219</v>
      </c>
      <c r="H13" s="1"/>
      <c r="I13" s="1"/>
    </row>
    <row r="14" spans="2:33">
      <c r="B14">
        <v>8000</v>
      </c>
      <c r="C14" s="38">
        <v>638413</v>
      </c>
      <c r="D14" s="59">
        <v>45078</v>
      </c>
      <c r="E14" s="2">
        <f t="shared" si="0"/>
        <v>79.801625000000001</v>
      </c>
      <c r="F14" s="1">
        <f t="shared" si="1"/>
        <v>3.6867826406134174E-2</v>
      </c>
      <c r="G14" s="22">
        <f>F14+1</f>
        <v>1.0368678264061342</v>
      </c>
      <c r="H14" s="1">
        <f>E14/E11-1</f>
        <v>-4.9018351903712176E-2</v>
      </c>
      <c r="I14" s="1">
        <f>E14/E8-1</f>
        <v>-0.1647919348592839</v>
      </c>
    </row>
    <row r="15" spans="2:33">
      <c r="B15">
        <v>8000</v>
      </c>
      <c r="C15" s="38">
        <v>696245</v>
      </c>
      <c r="D15" s="58">
        <v>45108</v>
      </c>
      <c r="E15" s="2">
        <f t="shared" si="0"/>
        <v>87.030625000000001</v>
      </c>
      <c r="F15" s="1">
        <f>E15/E14-1</f>
        <v>9.0587127768388065E-2</v>
      </c>
      <c r="G15" s="22">
        <f t="shared" ref="G15:G16" si="3">F15+1</f>
        <v>1.0905871277683881</v>
      </c>
      <c r="H15" s="1"/>
      <c r="I15" s="1"/>
    </row>
    <row r="16" spans="2:33">
      <c r="B16">
        <v>8000</v>
      </c>
      <c r="C16" s="38">
        <v>645317</v>
      </c>
      <c r="D16" s="37">
        <v>45139</v>
      </c>
      <c r="E16" s="2">
        <f t="shared" si="0"/>
        <v>80.664625000000001</v>
      </c>
      <c r="F16" s="1">
        <f t="shared" ref="F16" si="4">E16/E15-1</f>
        <v>-7.3146665326142335E-2</v>
      </c>
      <c r="G16" s="22">
        <f t="shared" si="3"/>
        <v>0.92685333467385767</v>
      </c>
      <c r="H16" s="1"/>
      <c r="I16" s="1"/>
    </row>
    <row r="17" spans="1:9">
      <c r="B17">
        <v>8000</v>
      </c>
      <c r="C17" s="38">
        <v>609314</v>
      </c>
      <c r="D17" s="59">
        <v>45170</v>
      </c>
      <c r="E17" s="2">
        <f t="shared" si="0"/>
        <v>76.164249999999996</v>
      </c>
      <c r="F17" s="1">
        <f>E17/E16-1</f>
        <v>-5.5791184797549187E-2</v>
      </c>
      <c r="G17" s="22">
        <f>F17+1</f>
        <v>0.94420881520245081</v>
      </c>
      <c r="H17" s="1">
        <f>E17/E14-1</f>
        <v>-4.5580212182396052E-2</v>
      </c>
      <c r="I17" s="1">
        <f>E17/E8-1</f>
        <v>-0.20286089568484622</v>
      </c>
    </row>
    <row r="18" spans="1:9">
      <c r="B18">
        <v>8000</v>
      </c>
      <c r="C18" s="38">
        <v>585753</v>
      </c>
      <c r="D18" s="58">
        <v>45200</v>
      </c>
      <c r="E18" s="2">
        <f t="shared" si="0"/>
        <v>73.219125000000005</v>
      </c>
      <c r="F18" s="1">
        <f t="shared" ref="F18:F37" si="5">E18/E17-1</f>
        <v>-3.8668075901751697E-2</v>
      </c>
      <c r="G18" s="22">
        <f t="shared" ref="G18:G25" si="6">F18+1</f>
        <v>0.9613319240982483</v>
      </c>
      <c r="H18" s="1"/>
      <c r="I18" s="1"/>
    </row>
    <row r="19" spans="1:9">
      <c r="B19">
        <v>8000</v>
      </c>
      <c r="C19" s="38">
        <v>545974</v>
      </c>
      <c r="D19" s="37">
        <v>45231</v>
      </c>
      <c r="E19" s="2">
        <f t="shared" si="0"/>
        <v>68.246750000000006</v>
      </c>
      <c r="F19" s="1">
        <f t="shared" si="5"/>
        <v>-6.7910877110317847E-2</v>
      </c>
      <c r="G19" s="22">
        <f t="shared" si="6"/>
        <v>0.93208912288968215</v>
      </c>
      <c r="H19" s="1"/>
      <c r="I19" s="1"/>
    </row>
    <row r="20" spans="1:9">
      <c r="B20">
        <v>8000</v>
      </c>
      <c r="C20" s="38">
        <v>630785</v>
      </c>
      <c r="D20" s="59">
        <v>45261</v>
      </c>
      <c r="E20" s="2">
        <f t="shared" si="0"/>
        <v>78.848124999999996</v>
      </c>
      <c r="F20" s="1">
        <f t="shared" si="5"/>
        <v>0.15533889892192643</v>
      </c>
      <c r="G20" s="22">
        <f t="shared" si="6"/>
        <v>1.1553388989219264</v>
      </c>
      <c r="H20" s="1">
        <f>E20/E17-1</f>
        <v>3.5237988951509314E-2</v>
      </c>
      <c r="I20" s="1">
        <f>E20/E8-1</f>
        <v>-0.17477131673417268</v>
      </c>
    </row>
    <row r="21" spans="1:9">
      <c r="B21">
        <v>8000</v>
      </c>
      <c r="C21" s="38">
        <v>606777</v>
      </c>
      <c r="D21" s="58">
        <v>45292</v>
      </c>
      <c r="E21" s="2">
        <f t="shared" si="0"/>
        <v>75.847125000000005</v>
      </c>
      <c r="F21" s="1">
        <f t="shared" si="5"/>
        <v>-3.8060511901836458E-2</v>
      </c>
      <c r="G21" s="22">
        <f t="shared" si="6"/>
        <v>0.96193948809816354</v>
      </c>
      <c r="H21" s="1"/>
      <c r="I21" s="1"/>
    </row>
    <row r="22" spans="1:9">
      <c r="B22">
        <v>8000</v>
      </c>
      <c r="C22" s="38">
        <v>811963</v>
      </c>
      <c r="D22" s="37">
        <v>45323</v>
      </c>
      <c r="E22" s="2">
        <f t="shared" si="0"/>
        <v>101.495375</v>
      </c>
      <c r="F22" s="1">
        <f t="shared" si="5"/>
        <v>0.33815718130383954</v>
      </c>
      <c r="G22" s="22">
        <f t="shared" si="6"/>
        <v>1.3381571813038395</v>
      </c>
      <c r="H22" s="1"/>
      <c r="I22" s="1"/>
    </row>
    <row r="23" spans="1:9">
      <c r="B23">
        <v>8000</v>
      </c>
      <c r="C23" s="38">
        <v>610304</v>
      </c>
      <c r="D23" s="59">
        <v>45352</v>
      </c>
      <c r="E23" s="2">
        <f t="shared" si="0"/>
        <v>76.287999999999997</v>
      </c>
      <c r="F23" s="1">
        <f t="shared" si="5"/>
        <v>-0.24835983905670578</v>
      </c>
      <c r="G23" s="22">
        <f t="shared" si="6"/>
        <v>0.75164016094329422</v>
      </c>
      <c r="H23" s="1">
        <f>E23/E20-1</f>
        <v>-3.2469066322122431E-2</v>
      </c>
      <c r="I23" s="1">
        <f>E23/E20-1</f>
        <v>-3.2469066322122431E-2</v>
      </c>
    </row>
    <row r="24" spans="1:9">
      <c r="B24">
        <v>8000</v>
      </c>
      <c r="C24" s="68">
        <v>571946</v>
      </c>
      <c r="D24" s="58">
        <v>45383</v>
      </c>
      <c r="E24" s="2">
        <f t="shared" si="0"/>
        <v>71.493250000000003</v>
      </c>
      <c r="F24" s="1">
        <f t="shared" si="5"/>
        <v>-6.2850644924496546E-2</v>
      </c>
      <c r="G24" s="22">
        <f t="shared" si="6"/>
        <v>0.93714935507550345</v>
      </c>
      <c r="H24" s="1"/>
      <c r="I24" s="1"/>
    </row>
    <row r="25" spans="1:9">
      <c r="B25">
        <v>8000</v>
      </c>
      <c r="C25" s="38">
        <v>619522</v>
      </c>
      <c r="D25" s="37">
        <v>45413</v>
      </c>
      <c r="E25" s="2">
        <f t="shared" si="0"/>
        <v>77.440250000000006</v>
      </c>
      <c r="F25" s="1">
        <f t="shared" si="5"/>
        <v>8.3182678084994022E-2</v>
      </c>
      <c r="G25" s="22">
        <f t="shared" si="6"/>
        <v>1.083182678084994</v>
      </c>
      <c r="H25" s="1"/>
      <c r="I25" s="1"/>
    </row>
    <row r="26" spans="1:9">
      <c r="A26" s="70"/>
      <c r="B26">
        <v>8000</v>
      </c>
      <c r="C26" s="38">
        <v>543102</v>
      </c>
      <c r="D26" s="59">
        <v>45444</v>
      </c>
      <c r="E26" s="2">
        <f t="shared" si="0"/>
        <v>67.887749999999997</v>
      </c>
      <c r="F26" s="1">
        <f t="shared" si="5"/>
        <v>-0.12335316582784805</v>
      </c>
      <c r="G26" s="22">
        <f>F26+1</f>
        <v>0.87664683417215195</v>
      </c>
      <c r="H26" s="1">
        <f>E26/E23-1</f>
        <v>-0.11011233745805371</v>
      </c>
      <c r="I26" s="1">
        <f>E26/$E$20-1</f>
        <v>-0.13900615899236668</v>
      </c>
    </row>
    <row r="27" spans="1:9">
      <c r="A27" s="70"/>
      <c r="B27">
        <v>8000</v>
      </c>
      <c r="C27" s="38">
        <v>546043</v>
      </c>
      <c r="D27" s="58">
        <v>45474</v>
      </c>
      <c r="E27" s="2">
        <f t="shared" si="0"/>
        <v>68.255375000000001</v>
      </c>
      <c r="F27" s="1">
        <f t="shared" si="5"/>
        <v>5.4151890436788808E-3</v>
      </c>
      <c r="G27" s="22">
        <f>F27+1</f>
        <v>1.0054151890436789</v>
      </c>
      <c r="H27" s="1"/>
      <c r="I27" s="1"/>
    </row>
    <row r="28" spans="1:9">
      <c r="A28" s="70" t="s">
        <v>54</v>
      </c>
      <c r="B28">
        <v>7840</v>
      </c>
      <c r="C28" s="38">
        <f>461939.66</f>
        <v>461939.66</v>
      </c>
      <c r="D28" s="37">
        <v>45505</v>
      </c>
      <c r="E28" s="2">
        <f t="shared" si="0"/>
        <v>58.920874999999995</v>
      </c>
      <c r="F28" s="1">
        <f t="shared" si="5"/>
        <v>-0.13675846041428985</v>
      </c>
      <c r="G28" s="22">
        <f>F28+1</f>
        <v>0.86324153958571015</v>
      </c>
      <c r="H28" s="1"/>
      <c r="I28" s="1"/>
    </row>
    <row r="29" spans="1:9">
      <c r="A29" s="70"/>
      <c r="B29">
        <v>7683.2</v>
      </c>
      <c r="C29" s="38">
        <f>425921.08</f>
        <v>425921.08</v>
      </c>
      <c r="D29" s="76">
        <v>45536</v>
      </c>
      <c r="E29" s="2">
        <f t="shared" si="0"/>
        <v>55.435375885047897</v>
      </c>
      <c r="F29" s="1">
        <f t="shared" si="5"/>
        <v>-5.9155589847436851E-2</v>
      </c>
      <c r="G29" s="22">
        <f>F29+1</f>
        <v>0.94084441015256315</v>
      </c>
      <c r="H29" s="1">
        <f>E29/E26-1</f>
        <v>-0.18342593641639471</v>
      </c>
      <c r="I29" s="1">
        <f>E29/$E$20-1</f>
        <v>-0.29693476052794032</v>
      </c>
    </row>
    <row r="30" spans="1:9">
      <c r="A30" s="70"/>
      <c r="B30">
        <v>7529.5360000000001</v>
      </c>
      <c r="C30" s="38">
        <v>395178.29</v>
      </c>
      <c r="D30" s="37">
        <v>45566</v>
      </c>
      <c r="E30" s="2">
        <f t="shared" si="0"/>
        <v>52.483750658739126</v>
      </c>
      <c r="F30" s="1">
        <f t="shared" si="5"/>
        <v>-5.3244434247714523E-2</v>
      </c>
      <c r="G30" s="22">
        <f t="shared" ref="G30:G37" si="7">F30+1</f>
        <v>0.94675556575228548</v>
      </c>
      <c r="H30" s="1"/>
      <c r="I30" s="1"/>
    </row>
    <row r="31" spans="1:9">
      <c r="A31" s="70"/>
      <c r="B31">
        <v>7416.5929999999998</v>
      </c>
      <c r="C31" s="38">
        <v>521850.03</v>
      </c>
      <c r="D31" s="37">
        <v>45597</v>
      </c>
      <c r="E31" s="2">
        <f t="shared" si="0"/>
        <v>70.362500679220233</v>
      </c>
      <c r="F31" s="1">
        <f t="shared" si="5"/>
        <v>0.3406530553948528</v>
      </c>
      <c r="G31" s="22">
        <f t="shared" si="7"/>
        <v>1.3406530553948528</v>
      </c>
      <c r="H31" s="1"/>
      <c r="I31" s="1"/>
    </row>
    <row r="32" spans="1:9">
      <c r="A32" s="70"/>
      <c r="B32">
        <v>7327.5940000000001</v>
      </c>
      <c r="C32" s="38">
        <v>560847.63</v>
      </c>
      <c r="D32" s="76">
        <v>45627</v>
      </c>
      <c r="E32" s="2">
        <f t="shared" si="0"/>
        <v>76.539124574860452</v>
      </c>
      <c r="F32" s="1">
        <f t="shared" si="5"/>
        <v>8.7782893388044902E-2</v>
      </c>
      <c r="G32" s="22">
        <f t="shared" si="7"/>
        <v>1.0877828933880449</v>
      </c>
      <c r="H32" s="1">
        <f>E32/E29-1</f>
        <v>0.38069100015798196</v>
      </c>
      <c r="I32" s="1">
        <f>E32/$E$20-1</f>
        <v>-2.9284151337010789E-2</v>
      </c>
    </row>
    <row r="33" spans="1:19">
      <c r="A33" s="70"/>
      <c r="B33">
        <v>7254.3180000000002</v>
      </c>
      <c r="C33" s="38">
        <v>445031.56</v>
      </c>
      <c r="D33" s="37">
        <v>45658</v>
      </c>
      <c r="E33" s="2">
        <f t="shared" si="0"/>
        <v>61.347125946229539</v>
      </c>
      <c r="F33" s="1">
        <f t="shared" si="5"/>
        <v>-0.19848670484559972</v>
      </c>
      <c r="G33" s="22">
        <f t="shared" si="7"/>
        <v>0.80151329515440028</v>
      </c>
      <c r="H33" s="1"/>
      <c r="I33" s="1"/>
    </row>
    <row r="34" spans="1:19">
      <c r="A34" s="70"/>
      <c r="B34">
        <v>7254.3180000000002</v>
      </c>
      <c r="C34" s="38">
        <v>400034.83</v>
      </c>
      <c r="D34" s="37">
        <v>45689</v>
      </c>
      <c r="E34" s="2">
        <f t="shared" si="0"/>
        <v>55.144374702073996</v>
      </c>
      <c r="F34" s="1">
        <f t="shared" si="5"/>
        <v>-0.10110907639898603</v>
      </c>
      <c r="G34" s="22">
        <f t="shared" si="7"/>
        <v>0.89889092360101397</v>
      </c>
      <c r="H34" s="1"/>
      <c r="I34" s="1"/>
    </row>
    <row r="35" spans="1:19">
      <c r="B35">
        <v>7254.3180000000002</v>
      </c>
      <c r="C35" s="38">
        <v>369242.07</v>
      </c>
      <c r="D35" s="76">
        <v>45717</v>
      </c>
      <c r="E35" s="2">
        <f t="shared" si="0"/>
        <v>50.899625574726663</v>
      </c>
      <c r="F35" s="1">
        <f t="shared" si="5"/>
        <v>-7.6975197384687832E-2</v>
      </c>
      <c r="G35" s="22">
        <f t="shared" si="7"/>
        <v>0.92302480261531217</v>
      </c>
      <c r="H35" s="1">
        <f>E35/E32-1</f>
        <v>-0.33498552723916541</v>
      </c>
      <c r="I35" s="1">
        <f>E35/$E$32-1</f>
        <v>-0.33498552723916541</v>
      </c>
    </row>
    <row r="36" spans="1:19">
      <c r="B36" s="78">
        <v>7254.3180000000002</v>
      </c>
      <c r="C36" s="38">
        <v>324966.24</v>
      </c>
      <c r="D36" s="77">
        <v>45748</v>
      </c>
      <c r="E36" s="2">
        <f t="shared" si="0"/>
        <v>44.796249626774006</v>
      </c>
      <c r="F36" s="1">
        <f t="shared" si="5"/>
        <v>-0.11991003625345298</v>
      </c>
      <c r="G36" s="22">
        <f t="shared" si="7"/>
        <v>0.88008996374654702</v>
      </c>
    </row>
    <row r="37" spans="1:19">
      <c r="B37" s="78">
        <v>7254.3180000000002</v>
      </c>
      <c r="C37" s="38">
        <v>487550.92</v>
      </c>
      <c r="D37" s="37">
        <v>45778</v>
      </c>
      <c r="E37" s="2">
        <f t="shared" si="0"/>
        <v>67.208374377853303</v>
      </c>
      <c r="F37" s="1">
        <f t="shared" si="5"/>
        <v>0.50031252477180432</v>
      </c>
      <c r="G37" s="22">
        <f t="shared" si="7"/>
        <v>1.5003125247718043</v>
      </c>
      <c r="H37" s="1"/>
      <c r="I37" s="1"/>
    </row>
    <row r="38" spans="1:19">
      <c r="B38" s="78">
        <v>7254.3180000000002</v>
      </c>
      <c r="C38" s="38">
        <v>420944.5</v>
      </c>
      <c r="D38" s="76">
        <v>45809</v>
      </c>
      <c r="E38" s="2">
        <f t="shared" si="0"/>
        <v>58.026750412650777</v>
      </c>
      <c r="F38" s="1">
        <f>E38/E37-1</f>
        <v>-0.13661428430901135</v>
      </c>
      <c r="G38" s="22">
        <f>F38+1</f>
        <v>0.86338571569098865</v>
      </c>
      <c r="H38" s="1">
        <f>E38/E35-1</f>
        <v>0.14002312900044123</v>
      </c>
      <c r="I38" s="1">
        <f>E38/$E$32-1</f>
        <v>-0.24186811993261459</v>
      </c>
    </row>
    <row r="39" spans="1:19">
      <c r="B39" s="78">
        <v>2720.3690000000001</v>
      </c>
      <c r="C39" s="38">
        <v>139729.04</v>
      </c>
      <c r="D39" s="77">
        <v>45839</v>
      </c>
      <c r="E39" s="2">
        <f t="shared" si="0"/>
        <v>51.364002457019616</v>
      </c>
      <c r="F39" s="1">
        <f t="shared" ref="F39:F40" si="8">E39/E38-1</f>
        <v>-0.11482200723372882</v>
      </c>
      <c r="G39" s="22">
        <f t="shared" ref="G39:G41" si="9">F39+1</f>
        <v>0.88517799276627118</v>
      </c>
      <c r="H39" s="1"/>
      <c r="I39" s="1"/>
    </row>
    <row r="40" spans="1:19">
      <c r="B40" s="78">
        <v>2720.3690000000001</v>
      </c>
      <c r="C40" s="38">
        <v>128398.7</v>
      </c>
      <c r="D40" s="77">
        <v>45870</v>
      </c>
      <c r="E40" s="2">
        <f t="shared" si="0"/>
        <v>47.199001311954369</v>
      </c>
      <c r="F40" s="1">
        <f t="shared" si="8"/>
        <v>-8.1087939915711171E-2</v>
      </c>
      <c r="G40" s="22">
        <f t="shared" si="9"/>
        <v>0.91891206008428883</v>
      </c>
      <c r="H40" s="1"/>
      <c r="I40" s="1"/>
    </row>
    <row r="41" spans="1:19">
      <c r="B41" s="78">
        <v>2720.3690000000001</v>
      </c>
      <c r="C41" s="38">
        <v>190118.44</v>
      </c>
      <c r="D41" s="76">
        <v>45901</v>
      </c>
      <c r="E41" s="2">
        <f t="shared" si="0"/>
        <v>69.887004299784323</v>
      </c>
      <c r="F41" s="1">
        <f>E41/E40-1</f>
        <v>0.48068820011417546</v>
      </c>
      <c r="G41" s="22">
        <f t="shared" si="9"/>
        <v>1.4806882001141755</v>
      </c>
      <c r="H41" s="1">
        <f>E41/E38-1</f>
        <v>0.20439286713094695</v>
      </c>
      <c r="I41" s="1">
        <f>E41/$E$32-1</f>
        <v>-8.691137130226656E-2</v>
      </c>
    </row>
    <row r="42" spans="1:19" ht="16.8" thickBot="1">
      <c r="C42" s="38"/>
      <c r="D42" s="37"/>
      <c r="F42" s="27"/>
      <c r="I42" s="1"/>
    </row>
    <row r="43" spans="1:19">
      <c r="C43" s="38"/>
      <c r="E43" s="82" t="s">
        <v>4</v>
      </c>
      <c r="F43" s="83"/>
    </row>
    <row r="44" spans="1:19">
      <c r="C44" s="38"/>
      <c r="E44" s="84"/>
      <c r="F44" s="85"/>
      <c r="H44" s="1"/>
    </row>
    <row r="45" spans="1:19">
      <c r="C45" s="38"/>
      <c r="E45" s="14" t="s">
        <v>6</v>
      </c>
      <c r="F45" s="23">
        <v>44749</v>
      </c>
      <c r="H45" s="66"/>
    </row>
    <row r="46" spans="1:19">
      <c r="C46" s="38"/>
      <c r="E46" s="14" t="s">
        <v>7</v>
      </c>
      <c r="F46" s="23">
        <v>45930</v>
      </c>
      <c r="H46" s="66"/>
    </row>
    <row r="47" spans="1:19">
      <c r="C47" s="38"/>
      <c r="E47" s="61" t="s">
        <v>1</v>
      </c>
      <c r="F47" s="4">
        <f>(E41-100)/100</f>
        <v>-0.30112995700215678</v>
      </c>
      <c r="G47" s="64" t="str">
        <f ca="1">_xlfn.FORMULATEXT(F47)</f>
        <v>=(E41-100)/100</v>
      </c>
      <c r="P47" s="12"/>
      <c r="Q47" s="19"/>
      <c r="S47" s="29"/>
    </row>
    <row r="48" spans="1:19">
      <c r="E48" s="62" t="s">
        <v>2</v>
      </c>
      <c r="F48" s="4">
        <f>(E41-E32)/E32</f>
        <v>-8.6911371302266519E-2</v>
      </c>
      <c r="G48" s="64" t="str">
        <f t="shared" ref="G48:G62" ca="1" si="10">_xlfn.FORMULATEXT(F48)</f>
        <v>=(E41-E32)/E32</v>
      </c>
      <c r="P48" s="12"/>
      <c r="Q48" s="19"/>
    </row>
    <row r="49" spans="3:17">
      <c r="E49" s="62" t="s">
        <v>36</v>
      </c>
      <c r="F49" s="4">
        <f>STDEVA(F3:F41)</f>
        <v>0.16275686991037183</v>
      </c>
      <c r="G49" s="64" t="str">
        <f t="shared" ca="1" si="10"/>
        <v>=STDEVA(F3:F41)</v>
      </c>
      <c r="J49" s="73" t="s">
        <v>9</v>
      </c>
      <c r="K49" t="s">
        <v>42</v>
      </c>
      <c r="P49" s="30" t="s">
        <v>32</v>
      </c>
      <c r="Q49" s="47">
        <f>F47</f>
        <v>-0.30112995700215678</v>
      </c>
    </row>
    <row r="50" spans="3:17">
      <c r="E50" s="62" t="s">
        <v>35</v>
      </c>
      <c r="F50" s="4">
        <f>STDEVA(F30:F41)</f>
        <v>0.25102426415845963</v>
      </c>
      <c r="G50" s="64" t="str">
        <f t="shared" ca="1" si="10"/>
        <v>=STDEVA(F30:F41)</v>
      </c>
      <c r="J50" s="80">
        <f>AVERAGE(K52:K63)</f>
        <v>4.2930916666666663</v>
      </c>
      <c r="M50" s="13"/>
      <c r="P50" s="29" t="s">
        <v>33</v>
      </c>
      <c r="Q50" s="47">
        <f>F48</f>
        <v>-8.6911371302266519E-2</v>
      </c>
    </row>
    <row r="51" spans="3:17">
      <c r="C51" s="6"/>
      <c r="E51" s="62" t="s">
        <v>13</v>
      </c>
      <c r="F51" s="7">
        <f>F46-F45</f>
        <v>1181</v>
      </c>
      <c r="G51" t="str">
        <f ca="1">_xlfn.FORMULATEXT(F51)</f>
        <v>=F46-F45</v>
      </c>
      <c r="J51" s="5" t="s">
        <v>10</v>
      </c>
      <c r="K51" s="65" t="s">
        <v>48</v>
      </c>
      <c r="L51" s="5"/>
      <c r="M51" s="13"/>
      <c r="P51" s="30" t="s">
        <v>20</v>
      </c>
      <c r="Q51" s="47">
        <f>F52</f>
        <v>-0.10438372505145543</v>
      </c>
    </row>
    <row r="52" spans="3:17">
      <c r="E52" s="62" t="s">
        <v>12</v>
      </c>
      <c r="F52" s="4">
        <f>(PRODUCT(G3:G41))^(12/COUNT(G3:G41))-1</f>
        <v>-0.10438372505145543</v>
      </c>
      <c r="G52" s="64" t="str">
        <f t="shared" ca="1" si="10"/>
        <v>=(PRODUCT(G3:G41))^(12/COUNT(G3:G41))-1</v>
      </c>
      <c r="J52" s="79">
        <v>45930</v>
      </c>
      <c r="K52">
        <v>4.1502999999999997</v>
      </c>
      <c r="L52" s="5"/>
      <c r="M52" s="13"/>
      <c r="P52" s="29" t="s">
        <v>45</v>
      </c>
      <c r="Q52" s="48">
        <f>F61</f>
        <v>0.33333333333333331</v>
      </c>
    </row>
    <row r="53" spans="3:17">
      <c r="E53" s="62" t="s">
        <v>47</v>
      </c>
      <c r="F53" s="8">
        <f>MAX(F3:F41)</f>
        <v>0.50031252477180432</v>
      </c>
      <c r="G53" s="64" t="str">
        <f t="shared" ca="1" si="10"/>
        <v>=MAX(F3:F41)</v>
      </c>
      <c r="J53" s="13">
        <v>45898</v>
      </c>
      <c r="K53">
        <v>4.2283999999999997</v>
      </c>
      <c r="M53" s="13"/>
      <c r="P53" s="30" t="s">
        <v>43</v>
      </c>
      <c r="Q53" s="48">
        <f>F62</f>
        <v>0.66666666666666663</v>
      </c>
    </row>
    <row r="54" spans="3:17">
      <c r="E54" s="62" t="s">
        <v>44</v>
      </c>
      <c r="F54" s="8">
        <f>MIN(F3:F41)</f>
        <v>-0.24835983905670578</v>
      </c>
      <c r="G54" s="64" t="str">
        <f t="shared" ca="1" si="10"/>
        <v>=MIN(F3:F41)</v>
      </c>
      <c r="J54" s="79">
        <v>45868</v>
      </c>
      <c r="K54">
        <v>4.3739999999999997</v>
      </c>
      <c r="M54" s="13"/>
      <c r="P54" s="29" t="s">
        <v>21</v>
      </c>
      <c r="Q54" s="47">
        <f>F55</f>
        <v>0.56380633593128449</v>
      </c>
    </row>
    <row r="55" spans="3:17">
      <c r="E55" s="62" t="s">
        <v>17</v>
      </c>
      <c r="F55" s="4">
        <f>F49*SQRT(12)</f>
        <v>0.56380633593128449</v>
      </c>
      <c r="G55" t="str">
        <f ca="1">_xlfn.FORMULATEXT(F55)</f>
        <v>=F49*SQRT(12)</v>
      </c>
      <c r="J55" s="13">
        <v>45838</v>
      </c>
      <c r="K55">
        <v>4.2279999999999998</v>
      </c>
      <c r="M55" s="13"/>
      <c r="P55" s="30" t="s">
        <v>22</v>
      </c>
      <c r="Q55" s="49">
        <f>F58</f>
        <v>-0.261285892565912</v>
      </c>
    </row>
    <row r="56" spans="3:17">
      <c r="E56" s="62" t="s">
        <v>18</v>
      </c>
      <c r="F56" s="4">
        <f>F50*SQRT(12)</f>
        <v>0.86957355891008636</v>
      </c>
      <c r="G56" t="str">
        <f t="shared" ca="1" si="10"/>
        <v>=F50*SQRT(12)</v>
      </c>
      <c r="J56" s="13">
        <v>45807</v>
      </c>
      <c r="K56">
        <v>4.4004000000000003</v>
      </c>
      <c r="L56" s="5"/>
      <c r="M56" s="13"/>
      <c r="P56" s="29"/>
      <c r="Q56" s="35"/>
    </row>
    <row r="57" spans="3:17">
      <c r="E57" s="71" t="s">
        <v>5</v>
      </c>
      <c r="F57" s="74">
        <f>J50/100</f>
        <v>4.2930916666666666E-2</v>
      </c>
      <c r="G57" t="str">
        <f t="shared" ca="1" si="10"/>
        <v>=J50/100</v>
      </c>
      <c r="J57" s="79">
        <v>45777</v>
      </c>
      <c r="K57">
        <v>4.1619000000000002</v>
      </c>
      <c r="L57" s="5"/>
      <c r="M57" s="13"/>
      <c r="Q57" s="46"/>
    </row>
    <row r="58" spans="3:17">
      <c r="E58" s="71" t="s">
        <v>3</v>
      </c>
      <c r="F58" s="72">
        <f>(F52-F57)/F55</f>
        <v>-0.261285892565912</v>
      </c>
      <c r="G58" t="str">
        <f t="shared" ca="1" si="10"/>
        <v>=(F52-F57)/F55</v>
      </c>
      <c r="J58" s="13">
        <v>45747</v>
      </c>
      <c r="K58" s="65">
        <v>4.2053000000000003</v>
      </c>
      <c r="L58" s="5"/>
      <c r="M58" s="13"/>
      <c r="P58" s="12"/>
      <c r="Q58" s="19"/>
    </row>
    <row r="59" spans="3:17">
      <c r="E59" s="62" t="s">
        <v>19</v>
      </c>
      <c r="F59" s="4">
        <f>E36/E32-1</f>
        <v>-0.41472743677698798</v>
      </c>
      <c r="G59" s="64" t="str">
        <f t="shared" ca="1" si="10"/>
        <v>=E36/E32-1</v>
      </c>
      <c r="J59" s="13">
        <v>45716</v>
      </c>
      <c r="K59" s="65">
        <v>4.2081999999999997</v>
      </c>
      <c r="L59" s="5"/>
      <c r="M59" s="13"/>
    </row>
    <row r="60" spans="3:17">
      <c r="E60" s="62" t="s">
        <v>14</v>
      </c>
      <c r="F60" s="7">
        <f>COUNT(F3:F41)</f>
        <v>39</v>
      </c>
      <c r="G60" s="64" t="str">
        <f t="shared" ca="1" si="10"/>
        <v>=COUNT(F3:F41)</v>
      </c>
      <c r="J60" s="13">
        <v>45688</v>
      </c>
      <c r="K60" s="65">
        <v>4.5387000000000004</v>
      </c>
      <c r="L60" s="5"/>
      <c r="M60" s="13"/>
    </row>
    <row r="61" spans="3:17">
      <c r="E61" s="62" t="s">
        <v>15</v>
      </c>
      <c r="F61" s="51">
        <f>COUNTIF(F3:F41,"&gt;0")/F60</f>
        <v>0.33333333333333331</v>
      </c>
      <c r="G61" s="64" t="str">
        <f t="shared" ca="1" si="10"/>
        <v>=COUNTIF(F3:F41,"&gt;0")/F60</v>
      </c>
      <c r="J61" s="13">
        <v>45657</v>
      </c>
      <c r="K61" s="65">
        <v>4.569</v>
      </c>
      <c r="L61" s="5"/>
      <c r="M61" s="13"/>
    </row>
    <row r="62" spans="3:17" ht="16.8" thickBot="1">
      <c r="E62" s="63" t="s">
        <v>16</v>
      </c>
      <c r="F62" s="53">
        <f>COUNTIF(F3:F41,"&lt;0")/F60</f>
        <v>0.66666666666666663</v>
      </c>
      <c r="G62" s="64" t="str">
        <f t="shared" ca="1" si="10"/>
        <v>=COUNTIF(F3:F41,"&lt;0")/F60</v>
      </c>
      <c r="J62" s="13">
        <v>45625</v>
      </c>
      <c r="K62" s="65">
        <v>4.1684999999999999</v>
      </c>
      <c r="L62" s="5"/>
      <c r="M62" s="13"/>
    </row>
    <row r="63" spans="3:17">
      <c r="J63" s="13">
        <v>45596</v>
      </c>
      <c r="K63" s="65">
        <v>4.2843999999999998</v>
      </c>
      <c r="L63" s="5"/>
      <c r="M63" s="13"/>
    </row>
    <row r="64" spans="3:17">
      <c r="J64" s="13">
        <v>45565</v>
      </c>
      <c r="K64" s="65">
        <v>3.7808999999999999</v>
      </c>
      <c r="L64" s="5"/>
      <c r="M64" s="13"/>
    </row>
    <row r="65" spans="10:13">
      <c r="J65" s="13">
        <v>45534</v>
      </c>
      <c r="K65">
        <v>3.9034</v>
      </c>
      <c r="L65" s="5"/>
      <c r="M65" s="13"/>
    </row>
    <row r="66" spans="10:13">
      <c r="J66" s="13">
        <v>45504</v>
      </c>
      <c r="K66">
        <v>4.0296000000000003</v>
      </c>
      <c r="L66" s="5"/>
      <c r="M66" s="13"/>
    </row>
    <row r="67" spans="10:13">
      <c r="J67" s="13">
        <v>45471</v>
      </c>
      <c r="K67">
        <v>4.3960999999999997</v>
      </c>
      <c r="L67" s="5"/>
      <c r="M67" s="13"/>
    </row>
    <row r="68" spans="10:13">
      <c r="J68" s="13">
        <v>45443</v>
      </c>
      <c r="K68">
        <v>4.4984999999999999</v>
      </c>
      <c r="M68" s="13"/>
    </row>
    <row r="69" spans="10:13">
      <c r="J69" s="13">
        <v>45412</v>
      </c>
      <c r="K69">
        <v>4.6798000000000002</v>
      </c>
      <c r="M69" s="13"/>
    </row>
    <row r="70" spans="10:13">
      <c r="J70" s="13">
        <v>45380</v>
      </c>
      <c r="K70">
        <v>4.2003000000000004</v>
      </c>
      <c r="M70" s="13"/>
    </row>
    <row r="71" spans="10:13">
      <c r="J71" s="13">
        <v>45351</v>
      </c>
      <c r="K71">
        <v>4.2502000000000004</v>
      </c>
      <c r="M71" s="13"/>
    </row>
    <row r="72" spans="10:13">
      <c r="J72" s="13">
        <v>45322</v>
      </c>
      <c r="K72">
        <v>3.9123999999999999</v>
      </c>
      <c r="M72" s="13"/>
    </row>
    <row r="73" spans="10:13">
      <c r="J73" s="13">
        <v>45289</v>
      </c>
      <c r="K73">
        <v>3.8791000000000002</v>
      </c>
      <c r="M73" s="13"/>
    </row>
    <row r="74" spans="10:13">
      <c r="J74" s="13">
        <v>45260</v>
      </c>
      <c r="K74">
        <v>4.3263999999999996</v>
      </c>
    </row>
    <row r="75" spans="10:13">
      <c r="J75" s="13">
        <v>45230</v>
      </c>
      <c r="K75">
        <v>4.9306999999999999</v>
      </c>
    </row>
    <row r="76" spans="10:13">
      <c r="J76" s="13">
        <v>45198</v>
      </c>
      <c r="K76">
        <v>4.5711000000000004</v>
      </c>
    </row>
    <row r="77" spans="10:13">
      <c r="J77" s="13">
        <v>45169</v>
      </c>
      <c r="K77">
        <v>4.1081000000000003</v>
      </c>
    </row>
    <row r="78" spans="10:13">
      <c r="J78" s="13">
        <v>45138</v>
      </c>
      <c r="K78">
        <v>3.9588000000000001</v>
      </c>
    </row>
    <row r="79" spans="10:13">
      <c r="J79" s="13">
        <v>45107</v>
      </c>
      <c r="K79">
        <v>3.8367</v>
      </c>
    </row>
    <row r="80" spans="10:13">
      <c r="J80" s="13">
        <v>45077</v>
      </c>
      <c r="K80">
        <v>3.6425999999999998</v>
      </c>
    </row>
    <row r="81" spans="10:11">
      <c r="J81" s="13">
        <v>45044</v>
      </c>
      <c r="K81">
        <v>3.4220000000000002</v>
      </c>
    </row>
    <row r="82" spans="10:11">
      <c r="J82" s="13">
        <v>45016</v>
      </c>
      <c r="K82" s="5">
        <v>3.4676</v>
      </c>
    </row>
    <row r="83" spans="10:11">
      <c r="J83" s="13">
        <v>44985</v>
      </c>
      <c r="K83" s="5">
        <v>3.92</v>
      </c>
    </row>
    <row r="84" spans="10:11">
      <c r="J84" s="13">
        <v>44957</v>
      </c>
      <c r="K84" s="5">
        <v>3.5068999999999999</v>
      </c>
    </row>
    <row r="85" spans="10:11">
      <c r="J85" s="13">
        <v>44925</v>
      </c>
      <c r="K85" s="5">
        <v>3.8748</v>
      </c>
    </row>
    <row r="86" spans="10:11">
      <c r="J86" s="13">
        <v>44895</v>
      </c>
      <c r="K86" s="5">
        <v>3.6053999999999999</v>
      </c>
    </row>
    <row r="87" spans="10:11">
      <c r="J87" s="25">
        <v>44865</v>
      </c>
      <c r="K87" s="5">
        <v>4.0477999999999996</v>
      </c>
    </row>
    <row r="88" spans="10:11">
      <c r="J88" s="13">
        <v>44834</v>
      </c>
      <c r="K88" s="5">
        <v>3.8285999999999998</v>
      </c>
    </row>
    <row r="89" spans="10:11">
      <c r="J89" s="13">
        <v>44804</v>
      </c>
      <c r="K89" s="5">
        <v>3.1926000000000001</v>
      </c>
    </row>
    <row r="90" spans="10:11">
      <c r="J90" s="13">
        <v>44772</v>
      </c>
      <c r="K90" s="5">
        <v>2.6486999999999998</v>
      </c>
    </row>
    <row r="91" spans="10:11">
      <c r="J91" s="13">
        <v>44742</v>
      </c>
      <c r="K91" s="5">
        <v>3.0129000000000001</v>
      </c>
    </row>
    <row r="92" spans="10:11">
      <c r="J92" s="13">
        <v>44711</v>
      </c>
      <c r="K92" s="5">
        <v>2.8441000000000001</v>
      </c>
    </row>
    <row r="93" spans="10:11">
      <c r="J93" s="13">
        <v>44680</v>
      </c>
      <c r="K93" s="5">
        <v>2.9336000000000002</v>
      </c>
    </row>
    <row r="94" spans="10:11">
      <c r="J94" s="13">
        <v>44651</v>
      </c>
      <c r="K94" s="5">
        <v>2.3433999999999999</v>
      </c>
    </row>
    <row r="95" spans="10:11">
      <c r="J95" s="13">
        <v>44620</v>
      </c>
      <c r="K95" s="5">
        <v>1.825</v>
      </c>
    </row>
    <row r="96" spans="10:11">
      <c r="J96" s="13">
        <v>44592</v>
      </c>
      <c r="K96" s="5">
        <v>1.7766999999999999</v>
      </c>
    </row>
    <row r="97" spans="10:11">
      <c r="J97" s="13">
        <v>44561</v>
      </c>
      <c r="K97" s="5">
        <v>1.5101</v>
      </c>
    </row>
    <row r="98" spans="10:11">
      <c r="J98" s="13">
        <v>44530</v>
      </c>
      <c r="K98" s="5">
        <v>1.4442999999999999</v>
      </c>
    </row>
    <row r="99" spans="10:11">
      <c r="J99" s="13">
        <v>44498</v>
      </c>
      <c r="K99" s="5">
        <v>1.5521</v>
      </c>
    </row>
    <row r="100" spans="10:11">
      <c r="J100" s="13" t="s">
        <v>24</v>
      </c>
      <c r="K100" s="5">
        <v>1.4873000000000001</v>
      </c>
    </row>
    <row r="101" spans="10:11">
      <c r="J101" s="13">
        <v>44439</v>
      </c>
      <c r="K101" s="5">
        <v>1.3088</v>
      </c>
    </row>
    <row r="102" spans="10:11">
      <c r="J102" s="13">
        <v>44408</v>
      </c>
      <c r="K102" s="5">
        <v>1.2222999999999999</v>
      </c>
    </row>
    <row r="103" spans="10:11">
      <c r="J103" s="13">
        <v>44377</v>
      </c>
      <c r="K103" s="5">
        <v>1.468</v>
      </c>
    </row>
    <row r="104" spans="10:11">
      <c r="J104" s="13">
        <v>44347</v>
      </c>
      <c r="K104" s="5">
        <v>1.5943000000000001</v>
      </c>
    </row>
    <row r="105" spans="10:11">
      <c r="J105" s="13">
        <v>44316</v>
      </c>
      <c r="K105" s="5">
        <v>1.6259000000000001</v>
      </c>
    </row>
    <row r="106" spans="10:11">
      <c r="J106" s="13">
        <v>44286</v>
      </c>
      <c r="K106" s="5">
        <v>1.7403999999999999</v>
      </c>
    </row>
    <row r="107" spans="10:11">
      <c r="J107" s="13">
        <v>44253</v>
      </c>
      <c r="K107" s="5">
        <v>1.4049</v>
      </c>
    </row>
    <row r="108" spans="10:11">
      <c r="J108" s="13">
        <v>44225</v>
      </c>
      <c r="K108" s="5">
        <v>1.0655000000000001</v>
      </c>
    </row>
    <row r="109" spans="10:11">
      <c r="J109" s="13">
        <v>44196</v>
      </c>
      <c r="K109" s="5">
        <v>0.91320000000000001</v>
      </c>
    </row>
    <row r="110" spans="10:11">
      <c r="J110" s="13">
        <v>44165</v>
      </c>
      <c r="K110" s="5">
        <v>0.83889999999999998</v>
      </c>
    </row>
    <row r="111" spans="10:11">
      <c r="J111" s="13">
        <v>44134</v>
      </c>
      <c r="K111" s="5">
        <v>0.87370000000000003</v>
      </c>
    </row>
    <row r="112" spans="10:11">
      <c r="J112" s="13">
        <v>44104</v>
      </c>
      <c r="K112" s="5">
        <v>0.68400000000000005</v>
      </c>
    </row>
    <row r="113" spans="10:11">
      <c r="J113" s="13">
        <v>44074</v>
      </c>
      <c r="K113" s="5">
        <v>0.70479999999999998</v>
      </c>
    </row>
    <row r="114" spans="10:11">
      <c r="J114" s="13">
        <v>44043</v>
      </c>
      <c r="K114" s="5">
        <v>0.5282</v>
      </c>
    </row>
    <row r="115" spans="10:11">
      <c r="J115" s="13">
        <v>44012</v>
      </c>
      <c r="K115" s="5">
        <v>0.65610000000000002</v>
      </c>
    </row>
  </sheetData>
  <mergeCells count="1">
    <mergeCell ref="E43:F44"/>
  </mergeCells>
  <phoneticPr fontId="30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476BE-0CBD-4E98-A21B-AF5BDF84DD3F}">
  <dimension ref="A1:AG111"/>
  <sheetViews>
    <sheetView topLeftCell="B39" zoomScale="85" zoomScaleNormal="85" workbookViewId="0">
      <selection activeCell="J48" sqref="J48"/>
    </sheetView>
  </sheetViews>
  <sheetFormatPr defaultRowHeight="16.2"/>
  <cols>
    <col min="1" max="1" width="31.5546875" customWidth="1"/>
    <col min="2" max="2" width="17.33203125" bestFit="1" customWidth="1"/>
    <col min="3" max="3" width="16.21875" customWidth="1"/>
    <col min="4" max="4" width="17" customWidth="1"/>
    <col min="5" max="5" width="28" customWidth="1"/>
    <col min="6" max="6" width="21.44140625" customWidth="1"/>
    <col min="7" max="7" width="20.44140625" customWidth="1"/>
    <col min="8" max="9" width="15.77734375" customWidth="1"/>
    <col min="10" max="10" width="14.88671875" customWidth="1"/>
    <col min="13" max="13" width="10.6640625" bestFit="1" customWidth="1"/>
    <col min="16" max="16" width="27.21875" customWidth="1"/>
    <col min="17" max="17" width="10" bestFit="1" customWidth="1"/>
    <col min="19" max="19" width="27.109375" customWidth="1"/>
    <col min="20" max="20" width="9.44140625" bestFit="1" customWidth="1"/>
  </cols>
  <sheetData>
    <row r="1" spans="2:33">
      <c r="B1" t="s">
        <v>55</v>
      </c>
      <c r="C1" s="75" t="s">
        <v>53</v>
      </c>
      <c r="E1" t="s">
        <v>0</v>
      </c>
      <c r="F1" t="s">
        <v>8</v>
      </c>
      <c r="H1" s="67" t="s">
        <v>56</v>
      </c>
      <c r="I1" s="67" t="s">
        <v>50</v>
      </c>
    </row>
    <row r="2" spans="2:33">
      <c r="D2" t="s">
        <v>25</v>
      </c>
      <c r="E2">
        <v>100</v>
      </c>
    </row>
    <row r="3" spans="2:33">
      <c r="B3">
        <v>5000</v>
      </c>
      <c r="C3" s="38">
        <v>515058.38</v>
      </c>
      <c r="D3" s="37">
        <v>44749</v>
      </c>
      <c r="E3" s="2">
        <f>C3/B3</f>
        <v>103.01167599999999</v>
      </c>
      <c r="F3" s="1">
        <f>(E3-100)/100</f>
        <v>3.0116759999999944E-2</v>
      </c>
      <c r="G3" s="22">
        <f>F3+1</f>
        <v>1.0301167599999999</v>
      </c>
    </row>
    <row r="4" spans="2:33">
      <c r="B4">
        <v>5000</v>
      </c>
      <c r="C4" s="38">
        <v>526213.68000000005</v>
      </c>
      <c r="D4" s="37">
        <v>44780</v>
      </c>
      <c r="E4" s="2">
        <f t="shared" ref="E4:E35" si="0">C4/B4</f>
        <v>105.24273600000001</v>
      </c>
      <c r="F4" s="1">
        <f>E4/E3-1</f>
        <v>2.1658321528522873E-2</v>
      </c>
      <c r="G4" s="22">
        <f>F4+1</f>
        <v>1.0216583215285229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2:33">
      <c r="B5">
        <v>5000</v>
      </c>
      <c r="C5" s="38">
        <v>499085</v>
      </c>
      <c r="D5" s="54">
        <v>44811</v>
      </c>
      <c r="E5" s="2">
        <f t="shared" si="0"/>
        <v>99.816999999999993</v>
      </c>
      <c r="F5" s="1">
        <f t="shared" ref="F5:F14" si="1">E5/E4-1</f>
        <v>-5.1554493984269034E-2</v>
      </c>
      <c r="G5" s="22">
        <f>F5+1</f>
        <v>0.94844550601573097</v>
      </c>
    </row>
    <row r="6" spans="2:33">
      <c r="B6">
        <v>8000</v>
      </c>
      <c r="C6" s="38">
        <v>784518</v>
      </c>
      <c r="D6" s="37">
        <v>44835</v>
      </c>
      <c r="E6" s="2">
        <f t="shared" si="0"/>
        <v>98.064750000000004</v>
      </c>
      <c r="F6" s="1">
        <f t="shared" si="1"/>
        <v>-1.755462496368343E-2</v>
      </c>
      <c r="G6" s="22">
        <f t="shared" ref="G6:G13" si="2">F6+1</f>
        <v>0.98244537503631657</v>
      </c>
    </row>
    <row r="7" spans="2:33">
      <c r="B7">
        <v>8000</v>
      </c>
      <c r="C7" s="38">
        <v>788818</v>
      </c>
      <c r="D7" s="37">
        <v>44866</v>
      </c>
      <c r="E7" s="2">
        <f t="shared" si="0"/>
        <v>98.602249999999998</v>
      </c>
      <c r="F7" s="1">
        <f t="shared" si="1"/>
        <v>5.4810724546792144E-3</v>
      </c>
      <c r="G7" s="22">
        <f t="shared" si="2"/>
        <v>1.0054810724546792</v>
      </c>
    </row>
    <row r="8" spans="2:33">
      <c r="B8">
        <v>8000</v>
      </c>
      <c r="C8" s="38">
        <v>764376</v>
      </c>
      <c r="D8" s="54">
        <v>44896</v>
      </c>
      <c r="E8" s="2">
        <f t="shared" si="0"/>
        <v>95.546999999999997</v>
      </c>
      <c r="F8" s="1">
        <f t="shared" si="1"/>
        <v>-3.0985601241350968E-2</v>
      </c>
      <c r="G8" s="22">
        <f t="shared" si="2"/>
        <v>0.96901439875864903</v>
      </c>
      <c r="I8" s="1">
        <f>E8/E2-1</f>
        <v>-4.453000000000007E-2</v>
      </c>
    </row>
    <row r="9" spans="2:33">
      <c r="B9">
        <v>8000</v>
      </c>
      <c r="C9" s="38">
        <v>743817</v>
      </c>
      <c r="D9" s="37">
        <v>44927</v>
      </c>
      <c r="E9" s="2">
        <f t="shared" si="0"/>
        <v>92.977125000000001</v>
      </c>
      <c r="F9" s="1">
        <f t="shared" si="1"/>
        <v>-2.6896448868096279E-2</v>
      </c>
      <c r="G9" s="22">
        <f t="shared" si="2"/>
        <v>0.97310355113190372</v>
      </c>
      <c r="I9" s="1"/>
    </row>
    <row r="10" spans="2:33">
      <c r="B10">
        <v>8000</v>
      </c>
      <c r="C10" s="38">
        <v>689680</v>
      </c>
      <c r="D10" s="37">
        <v>44958</v>
      </c>
      <c r="E10" s="2">
        <f t="shared" si="0"/>
        <v>86.21</v>
      </c>
      <c r="F10" s="1">
        <f t="shared" si="1"/>
        <v>-7.2782687139444358E-2</v>
      </c>
      <c r="G10" s="22">
        <f t="shared" si="2"/>
        <v>0.92721731286055564</v>
      </c>
      <c r="I10" s="1"/>
    </row>
    <row r="11" spans="2:33">
      <c r="B11">
        <v>8000</v>
      </c>
      <c r="C11" s="38">
        <v>671320</v>
      </c>
      <c r="D11" s="54">
        <v>44986</v>
      </c>
      <c r="E11" s="2">
        <f t="shared" si="0"/>
        <v>83.915000000000006</v>
      </c>
      <c r="F11" s="1">
        <f t="shared" si="1"/>
        <v>-2.6621041642500676E-2</v>
      </c>
      <c r="G11" s="22">
        <f t="shared" si="2"/>
        <v>0.97337895835749932</v>
      </c>
      <c r="H11" s="1">
        <f>E11/E8-1</f>
        <v>-0.12174113263629405</v>
      </c>
      <c r="I11" s="1"/>
    </row>
    <row r="12" spans="2:33">
      <c r="B12">
        <v>8000</v>
      </c>
      <c r="C12" s="38">
        <v>629655</v>
      </c>
      <c r="D12" s="58">
        <v>45017</v>
      </c>
      <c r="E12" s="2">
        <f t="shared" si="0"/>
        <v>78.706874999999997</v>
      </c>
      <c r="F12" s="1">
        <f t="shared" si="1"/>
        <v>-6.2064291247095338E-2</v>
      </c>
      <c r="G12" s="22">
        <f t="shared" si="2"/>
        <v>0.93793570875290466</v>
      </c>
      <c r="H12" s="1"/>
      <c r="I12" s="1"/>
    </row>
    <row r="13" spans="2:33">
      <c r="B13">
        <v>8000</v>
      </c>
      <c r="C13" s="38">
        <v>615713</v>
      </c>
      <c r="D13" s="37">
        <v>45047</v>
      </c>
      <c r="E13" s="2">
        <f t="shared" si="0"/>
        <v>76.964124999999996</v>
      </c>
      <c r="F13" s="1">
        <f t="shared" si="1"/>
        <v>-2.2142284266780998E-2</v>
      </c>
      <c r="G13" s="22">
        <f t="shared" si="2"/>
        <v>0.977857715733219</v>
      </c>
      <c r="H13" s="1"/>
      <c r="I13" s="1"/>
    </row>
    <row r="14" spans="2:33">
      <c r="B14">
        <v>8000</v>
      </c>
      <c r="C14" s="38">
        <v>638413</v>
      </c>
      <c r="D14" s="59">
        <v>45078</v>
      </c>
      <c r="E14" s="2">
        <f t="shared" si="0"/>
        <v>79.801625000000001</v>
      </c>
      <c r="F14" s="1">
        <f t="shared" si="1"/>
        <v>3.6867826406134174E-2</v>
      </c>
      <c r="G14" s="22">
        <f>F14+1</f>
        <v>1.0368678264061342</v>
      </c>
      <c r="H14" s="1">
        <f>E14/E11-1</f>
        <v>-4.9018351903712176E-2</v>
      </c>
      <c r="I14" s="1">
        <f>E14/E8-1</f>
        <v>-0.1647919348592839</v>
      </c>
    </row>
    <row r="15" spans="2:33">
      <c r="B15">
        <v>8000</v>
      </c>
      <c r="C15" s="38">
        <v>696245</v>
      </c>
      <c r="D15" s="58">
        <v>45108</v>
      </c>
      <c r="E15" s="2">
        <f t="shared" si="0"/>
        <v>87.030625000000001</v>
      </c>
      <c r="F15" s="1">
        <f>E15/E14-1</f>
        <v>9.0587127768388065E-2</v>
      </c>
      <c r="G15" s="22">
        <f t="shared" ref="G15:G16" si="3">F15+1</f>
        <v>1.0905871277683881</v>
      </c>
      <c r="H15" s="1"/>
      <c r="I15" s="1"/>
    </row>
    <row r="16" spans="2:33">
      <c r="B16">
        <v>8000</v>
      </c>
      <c r="C16" s="38">
        <v>645317</v>
      </c>
      <c r="D16" s="37">
        <v>45139</v>
      </c>
      <c r="E16" s="2">
        <f t="shared" si="0"/>
        <v>80.664625000000001</v>
      </c>
      <c r="F16" s="1">
        <f t="shared" ref="F16" si="4">E16/E15-1</f>
        <v>-7.3146665326142335E-2</v>
      </c>
      <c r="G16" s="22">
        <f t="shared" si="3"/>
        <v>0.92685333467385767</v>
      </c>
      <c r="H16" s="1"/>
      <c r="I16" s="1"/>
    </row>
    <row r="17" spans="1:9">
      <c r="B17">
        <v>8000</v>
      </c>
      <c r="C17" s="38">
        <v>609314</v>
      </c>
      <c r="D17" s="59">
        <v>45170</v>
      </c>
      <c r="E17" s="2">
        <f t="shared" si="0"/>
        <v>76.164249999999996</v>
      </c>
      <c r="F17" s="1">
        <f>E17/E16-1</f>
        <v>-5.5791184797549187E-2</v>
      </c>
      <c r="G17" s="22">
        <f>F17+1</f>
        <v>0.94420881520245081</v>
      </c>
      <c r="H17" s="1">
        <f>E17/E14-1</f>
        <v>-4.5580212182396052E-2</v>
      </c>
      <c r="I17" s="1">
        <f>E17/E8-1</f>
        <v>-0.20286089568484622</v>
      </c>
    </row>
    <row r="18" spans="1:9">
      <c r="B18">
        <v>8000</v>
      </c>
      <c r="C18" s="38">
        <v>585753</v>
      </c>
      <c r="D18" s="58">
        <v>45200</v>
      </c>
      <c r="E18" s="2">
        <f t="shared" si="0"/>
        <v>73.219125000000005</v>
      </c>
      <c r="F18" s="1">
        <f t="shared" ref="F18:F35" si="5">E18/E17-1</f>
        <v>-3.8668075901751697E-2</v>
      </c>
      <c r="G18" s="22">
        <f t="shared" ref="G18:G25" si="6">F18+1</f>
        <v>0.9613319240982483</v>
      </c>
      <c r="H18" s="1"/>
      <c r="I18" s="1"/>
    </row>
    <row r="19" spans="1:9">
      <c r="B19">
        <v>8000</v>
      </c>
      <c r="C19" s="38">
        <v>545974</v>
      </c>
      <c r="D19" s="37">
        <v>45231</v>
      </c>
      <c r="E19" s="2">
        <f t="shared" si="0"/>
        <v>68.246750000000006</v>
      </c>
      <c r="F19" s="1">
        <f t="shared" si="5"/>
        <v>-6.7910877110317847E-2</v>
      </c>
      <c r="G19" s="22">
        <f t="shared" si="6"/>
        <v>0.93208912288968215</v>
      </c>
      <c r="H19" s="1"/>
      <c r="I19" s="1"/>
    </row>
    <row r="20" spans="1:9">
      <c r="B20">
        <v>8000</v>
      </c>
      <c r="C20" s="38">
        <v>630785</v>
      </c>
      <c r="D20" s="59">
        <v>45261</v>
      </c>
      <c r="E20" s="2">
        <f t="shared" si="0"/>
        <v>78.848124999999996</v>
      </c>
      <c r="F20" s="1">
        <f t="shared" si="5"/>
        <v>0.15533889892192643</v>
      </c>
      <c r="G20" s="22">
        <f t="shared" si="6"/>
        <v>1.1553388989219264</v>
      </c>
      <c r="H20" s="1">
        <f>E20/E17-1</f>
        <v>3.5237988951509314E-2</v>
      </c>
      <c r="I20" s="1">
        <f>E20/E8-1</f>
        <v>-0.17477131673417268</v>
      </c>
    </row>
    <row r="21" spans="1:9">
      <c r="B21">
        <v>8000</v>
      </c>
      <c r="C21" s="38">
        <v>606777</v>
      </c>
      <c r="D21" s="58">
        <v>45292</v>
      </c>
      <c r="E21" s="2">
        <f t="shared" si="0"/>
        <v>75.847125000000005</v>
      </c>
      <c r="F21" s="1">
        <f t="shared" si="5"/>
        <v>-3.8060511901836458E-2</v>
      </c>
      <c r="G21" s="22">
        <f t="shared" si="6"/>
        <v>0.96193948809816354</v>
      </c>
      <c r="H21" s="1"/>
      <c r="I21" s="1"/>
    </row>
    <row r="22" spans="1:9">
      <c r="B22">
        <v>8000</v>
      </c>
      <c r="C22" s="38">
        <v>811963</v>
      </c>
      <c r="D22" s="37">
        <v>45323</v>
      </c>
      <c r="E22" s="2">
        <f t="shared" si="0"/>
        <v>101.495375</v>
      </c>
      <c r="F22" s="1">
        <f t="shared" si="5"/>
        <v>0.33815718130383954</v>
      </c>
      <c r="G22" s="22">
        <f t="shared" si="6"/>
        <v>1.3381571813038395</v>
      </c>
      <c r="H22" s="1"/>
      <c r="I22" s="1"/>
    </row>
    <row r="23" spans="1:9">
      <c r="B23">
        <v>8000</v>
      </c>
      <c r="C23" s="38">
        <v>610304</v>
      </c>
      <c r="D23" s="59">
        <v>45352</v>
      </c>
      <c r="E23" s="2">
        <f t="shared" si="0"/>
        <v>76.287999999999997</v>
      </c>
      <c r="F23" s="1">
        <f t="shared" si="5"/>
        <v>-0.24835983905670578</v>
      </c>
      <c r="G23" s="22">
        <f t="shared" si="6"/>
        <v>0.75164016094329422</v>
      </c>
      <c r="H23" s="1">
        <f>E23/E20-1</f>
        <v>-3.2469066322122431E-2</v>
      </c>
      <c r="I23" s="1">
        <f>E23/E20-1</f>
        <v>-3.2469066322122431E-2</v>
      </c>
    </row>
    <row r="24" spans="1:9">
      <c r="B24">
        <v>8000</v>
      </c>
      <c r="C24" s="68">
        <v>571946</v>
      </c>
      <c r="D24" s="58">
        <v>45383</v>
      </c>
      <c r="E24" s="2">
        <f t="shared" si="0"/>
        <v>71.493250000000003</v>
      </c>
      <c r="F24" s="1">
        <f t="shared" si="5"/>
        <v>-6.2850644924496546E-2</v>
      </c>
      <c r="G24" s="22">
        <f t="shared" si="6"/>
        <v>0.93714935507550345</v>
      </c>
      <c r="H24" s="1"/>
      <c r="I24" s="1"/>
    </row>
    <row r="25" spans="1:9">
      <c r="B25">
        <v>8000</v>
      </c>
      <c r="C25" s="38">
        <v>619522</v>
      </c>
      <c r="D25" s="37">
        <v>45413</v>
      </c>
      <c r="E25" s="2">
        <f t="shared" si="0"/>
        <v>77.440250000000006</v>
      </c>
      <c r="F25" s="1">
        <f t="shared" si="5"/>
        <v>8.3182678084994022E-2</v>
      </c>
      <c r="G25" s="22">
        <f t="shared" si="6"/>
        <v>1.083182678084994</v>
      </c>
      <c r="H25" s="1"/>
      <c r="I25" s="1"/>
    </row>
    <row r="26" spans="1:9">
      <c r="A26" s="70"/>
      <c r="B26">
        <v>8000</v>
      </c>
      <c r="C26" s="38">
        <v>543102</v>
      </c>
      <c r="D26" s="59">
        <v>45444</v>
      </c>
      <c r="E26" s="2">
        <f t="shared" si="0"/>
        <v>67.887749999999997</v>
      </c>
      <c r="F26" s="1">
        <f t="shared" si="5"/>
        <v>-0.12335316582784805</v>
      </c>
      <c r="G26" s="22">
        <f>F26+1</f>
        <v>0.87664683417215195</v>
      </c>
      <c r="H26" s="1">
        <f>E26/E23-1</f>
        <v>-0.11011233745805371</v>
      </c>
      <c r="I26" s="1">
        <f>E26/$E$20-1</f>
        <v>-0.13900615899236668</v>
      </c>
    </row>
    <row r="27" spans="1:9">
      <c r="A27" s="70"/>
      <c r="B27">
        <v>8000</v>
      </c>
      <c r="C27" s="38">
        <v>546043</v>
      </c>
      <c r="D27" s="58">
        <v>45474</v>
      </c>
      <c r="E27" s="2">
        <f t="shared" si="0"/>
        <v>68.255375000000001</v>
      </c>
      <c r="F27" s="1">
        <f t="shared" si="5"/>
        <v>5.4151890436788808E-3</v>
      </c>
      <c r="G27" s="22">
        <f>F27+1</f>
        <v>1.0054151890436789</v>
      </c>
      <c r="H27" s="1"/>
      <c r="I27" s="1"/>
    </row>
    <row r="28" spans="1:9">
      <c r="A28" s="70" t="s">
        <v>54</v>
      </c>
      <c r="B28">
        <v>7840</v>
      </c>
      <c r="C28" s="38">
        <f>461939.66</f>
        <v>461939.66</v>
      </c>
      <c r="D28" s="37">
        <v>45505</v>
      </c>
      <c r="E28" s="2">
        <f t="shared" si="0"/>
        <v>58.920874999999995</v>
      </c>
      <c r="F28" s="1">
        <f t="shared" si="5"/>
        <v>-0.13675846041428985</v>
      </c>
      <c r="G28" s="22">
        <f>F28+1</f>
        <v>0.86324153958571015</v>
      </c>
      <c r="H28" s="1"/>
      <c r="I28" s="1"/>
    </row>
    <row r="29" spans="1:9">
      <c r="A29" s="70"/>
      <c r="B29">
        <v>7683.2</v>
      </c>
      <c r="C29" s="38">
        <f>425921.08</f>
        <v>425921.08</v>
      </c>
      <c r="D29" s="76">
        <v>45536</v>
      </c>
      <c r="E29" s="2">
        <f t="shared" si="0"/>
        <v>55.435375885047897</v>
      </c>
      <c r="F29" s="1">
        <f t="shared" si="5"/>
        <v>-5.9155589847436851E-2</v>
      </c>
      <c r="G29" s="22">
        <f>F29+1</f>
        <v>0.94084441015256315</v>
      </c>
      <c r="H29" s="1">
        <f>E29/E26-1</f>
        <v>-0.18342593641639471</v>
      </c>
      <c r="I29" s="1">
        <f>E29/$E$20-1</f>
        <v>-0.29693476052794032</v>
      </c>
    </row>
    <row r="30" spans="1:9">
      <c r="A30" s="70"/>
      <c r="B30">
        <v>7529.5360000000001</v>
      </c>
      <c r="C30" s="38">
        <v>395178.29</v>
      </c>
      <c r="D30" s="37">
        <v>45566</v>
      </c>
      <c r="E30" s="2">
        <f t="shared" si="0"/>
        <v>52.483750658739126</v>
      </c>
      <c r="F30" s="1">
        <f t="shared" si="5"/>
        <v>-5.3244434247714523E-2</v>
      </c>
      <c r="G30" s="22">
        <f t="shared" ref="G30:G35" si="7">F30+1</f>
        <v>0.94675556575228548</v>
      </c>
      <c r="H30" s="1"/>
      <c r="I30" s="1"/>
    </row>
    <row r="31" spans="1:9">
      <c r="A31" s="70"/>
      <c r="B31">
        <v>7416.5929999999998</v>
      </c>
      <c r="C31" s="38">
        <v>521850.03</v>
      </c>
      <c r="D31" s="37">
        <v>45597</v>
      </c>
      <c r="E31" s="2">
        <f t="shared" si="0"/>
        <v>70.362500679220233</v>
      </c>
      <c r="F31" s="1">
        <f t="shared" si="5"/>
        <v>0.3406530553948528</v>
      </c>
      <c r="G31" s="22">
        <f t="shared" si="7"/>
        <v>1.3406530553948528</v>
      </c>
      <c r="H31" s="1"/>
      <c r="I31" s="1"/>
    </row>
    <row r="32" spans="1:9">
      <c r="A32" s="70"/>
      <c r="B32">
        <v>7327.5940000000001</v>
      </c>
      <c r="C32" s="38">
        <v>560847.63</v>
      </c>
      <c r="D32" s="76">
        <v>45627</v>
      </c>
      <c r="E32" s="2">
        <f t="shared" si="0"/>
        <v>76.539124574860452</v>
      </c>
      <c r="F32" s="1">
        <f t="shared" si="5"/>
        <v>8.7782893388044902E-2</v>
      </c>
      <c r="G32" s="22">
        <f t="shared" si="7"/>
        <v>1.0877828933880449</v>
      </c>
      <c r="H32" s="1">
        <f>E32/E29-1</f>
        <v>0.38069100015798196</v>
      </c>
      <c r="I32" s="1">
        <f>E32/$E$20-1</f>
        <v>-2.9284151337010789E-2</v>
      </c>
    </row>
    <row r="33" spans="1:19">
      <c r="A33" s="70"/>
      <c r="B33">
        <v>7254.3180000000002</v>
      </c>
      <c r="C33" s="38">
        <v>445031.56</v>
      </c>
      <c r="D33" s="37">
        <v>45658</v>
      </c>
      <c r="E33" s="2">
        <f t="shared" si="0"/>
        <v>61.347125946229539</v>
      </c>
      <c r="F33" s="1">
        <f t="shared" si="5"/>
        <v>-0.19848670484559972</v>
      </c>
      <c r="G33" s="22">
        <f t="shared" si="7"/>
        <v>0.80151329515440028</v>
      </c>
      <c r="H33" s="1"/>
      <c r="I33" s="1"/>
    </row>
    <row r="34" spans="1:19">
      <c r="A34" s="70"/>
      <c r="B34">
        <v>7254.3180000000002</v>
      </c>
      <c r="C34" s="38">
        <v>400034.83</v>
      </c>
      <c r="D34" s="37">
        <v>45689</v>
      </c>
      <c r="E34" s="2">
        <f t="shared" si="0"/>
        <v>55.144374702073996</v>
      </c>
      <c r="F34" s="1">
        <f t="shared" si="5"/>
        <v>-0.10110907639898603</v>
      </c>
      <c r="G34" s="22">
        <f t="shared" si="7"/>
        <v>0.89889092360101397</v>
      </c>
      <c r="H34" s="1"/>
      <c r="I34" s="1"/>
    </row>
    <row r="35" spans="1:19">
      <c r="B35">
        <v>7254.3180000000002</v>
      </c>
      <c r="C35" s="38">
        <v>369242.07</v>
      </c>
      <c r="D35" s="76">
        <v>45717</v>
      </c>
      <c r="E35" s="2">
        <f t="shared" si="0"/>
        <v>50.899625574726663</v>
      </c>
      <c r="F35" s="1">
        <f t="shared" si="5"/>
        <v>-7.6975197384687832E-2</v>
      </c>
      <c r="G35" s="22">
        <f t="shared" si="7"/>
        <v>0.92302480261531217</v>
      </c>
      <c r="H35" s="1">
        <f>E35/E32-1</f>
        <v>-0.33498552723916541</v>
      </c>
      <c r="I35" s="1">
        <f>E35/$E$32-1</f>
        <v>-0.33498552723916541</v>
      </c>
    </row>
    <row r="36" spans="1:19">
      <c r="B36" s="78">
        <v>7254.3180000000002</v>
      </c>
      <c r="C36" s="38">
        <v>324966.24</v>
      </c>
      <c r="D36" s="77">
        <v>45748</v>
      </c>
      <c r="E36" s="2">
        <f t="shared" ref="E36:E38" si="8">C36/B36</f>
        <v>44.796249626774006</v>
      </c>
      <c r="F36" s="1">
        <f t="shared" ref="F36:F38" si="9">E36/E35-1</f>
        <v>-0.11991003625345298</v>
      </c>
      <c r="G36" s="22">
        <f t="shared" ref="G36:G38" si="10">F36+1</f>
        <v>0.88008996374654702</v>
      </c>
    </row>
    <row r="37" spans="1:19">
      <c r="B37" s="78">
        <v>7254.3180000000002</v>
      </c>
      <c r="C37" s="38">
        <v>487550.92</v>
      </c>
      <c r="D37" s="37">
        <v>45778</v>
      </c>
      <c r="E37" s="2">
        <f t="shared" si="8"/>
        <v>67.208374377853303</v>
      </c>
      <c r="F37" s="1">
        <f t="shared" si="9"/>
        <v>0.50031252477180432</v>
      </c>
      <c r="G37" s="22">
        <f t="shared" si="10"/>
        <v>1.5003125247718043</v>
      </c>
      <c r="H37" s="1"/>
      <c r="I37" s="1"/>
    </row>
    <row r="38" spans="1:19">
      <c r="B38" s="78">
        <v>7254.3180000000002</v>
      </c>
      <c r="C38" s="38">
        <v>420944.5</v>
      </c>
      <c r="D38" s="76">
        <v>45809</v>
      </c>
      <c r="E38" s="2">
        <f t="shared" si="8"/>
        <v>58.026750412650777</v>
      </c>
      <c r="F38" s="1">
        <f t="shared" si="9"/>
        <v>-0.13661428430901135</v>
      </c>
      <c r="G38" s="22">
        <f t="shared" si="10"/>
        <v>0.86338571569098865</v>
      </c>
      <c r="H38" s="1">
        <f>E38/E35-1</f>
        <v>0.14002312900044123</v>
      </c>
      <c r="I38" s="1">
        <f>E38/$E$32-1</f>
        <v>-0.24186811993261459</v>
      </c>
    </row>
    <row r="39" spans="1:19" ht="16.8" thickBot="1">
      <c r="C39" s="38"/>
      <c r="D39" s="37"/>
      <c r="F39" s="27"/>
      <c r="I39" s="1"/>
    </row>
    <row r="40" spans="1:19">
      <c r="C40" s="38"/>
      <c r="E40" s="82" t="s">
        <v>4</v>
      </c>
      <c r="F40" s="83"/>
    </row>
    <row r="41" spans="1:19">
      <c r="C41" s="38"/>
      <c r="E41" s="84"/>
      <c r="F41" s="85"/>
      <c r="H41" s="1"/>
    </row>
    <row r="42" spans="1:19">
      <c r="C42" s="38"/>
      <c r="E42" s="14" t="s">
        <v>6</v>
      </c>
      <c r="F42" s="23">
        <v>44749</v>
      </c>
      <c r="H42" s="66"/>
    </row>
    <row r="43" spans="1:19">
      <c r="C43" s="38"/>
      <c r="E43" s="14" t="s">
        <v>7</v>
      </c>
      <c r="F43" s="23">
        <v>45838</v>
      </c>
      <c r="H43" s="66"/>
    </row>
    <row r="44" spans="1:19">
      <c r="C44" s="38"/>
      <c r="E44" s="61" t="s">
        <v>1</v>
      </c>
      <c r="F44" s="4">
        <f>(E38-100)/100</f>
        <v>-0.41973249587349221</v>
      </c>
      <c r="G44" s="64" t="str">
        <f ca="1">_xlfn.FORMULATEXT(F44)</f>
        <v>=(E38-100)/100</v>
      </c>
      <c r="P44" s="12"/>
      <c r="Q44" s="19"/>
      <c r="S44" s="29"/>
    </row>
    <row r="45" spans="1:19">
      <c r="E45" s="62" t="s">
        <v>2</v>
      </c>
      <c r="F45" s="4">
        <f>(E38-E32)/E32</f>
        <v>-0.24186811993261456</v>
      </c>
      <c r="G45" s="64" t="str">
        <f t="shared" ref="G45:G59" ca="1" si="11">_xlfn.FORMULATEXT(F45)</f>
        <v>=(E38-E32)/E32</v>
      </c>
      <c r="P45" s="12"/>
      <c r="Q45" s="19"/>
    </row>
    <row r="46" spans="1:19">
      <c r="E46" s="62" t="s">
        <v>36</v>
      </c>
      <c r="F46" s="4">
        <f>STDEVA(F3:F38)</f>
        <v>0.14685083172909086</v>
      </c>
      <c r="G46" s="64" t="str">
        <f t="shared" ca="1" si="11"/>
        <v>=STDEVA(F3:F38)</v>
      </c>
      <c r="J46" s="73" t="s">
        <v>9</v>
      </c>
      <c r="K46" t="s">
        <v>42</v>
      </c>
      <c r="P46" s="30" t="s">
        <v>32</v>
      </c>
      <c r="Q46" s="47">
        <f>F44</f>
        <v>-0.41973249587349221</v>
      </c>
    </row>
    <row r="47" spans="1:19">
      <c r="E47" s="62" t="s">
        <v>35</v>
      </c>
      <c r="F47" s="4">
        <f>STDEVA(F27:F38)</f>
        <v>0.21051712134535669</v>
      </c>
      <c r="G47" s="64" t="str">
        <f t="shared" ca="1" si="11"/>
        <v>=STDEVA(F27:F38)</v>
      </c>
      <c r="J47" s="73">
        <f>AVERAGE(K51:K62)</f>
        <v>4.2065250000000001</v>
      </c>
      <c r="M47" s="13"/>
      <c r="P47" s="29" t="s">
        <v>33</v>
      </c>
      <c r="Q47" s="47">
        <f>F45</f>
        <v>-0.24186811993261456</v>
      </c>
    </row>
    <row r="48" spans="1:19">
      <c r="C48" s="6"/>
      <c r="E48" s="62" t="s">
        <v>13</v>
      </c>
      <c r="F48" s="7">
        <f>F43-F42</f>
        <v>1089</v>
      </c>
      <c r="G48" t="str">
        <f ca="1">_xlfn.FORMULATEXT(F48)</f>
        <v>=F43-F42</v>
      </c>
      <c r="J48" s="5" t="s">
        <v>10</v>
      </c>
      <c r="K48" s="65" t="s">
        <v>48</v>
      </c>
      <c r="L48" s="5"/>
      <c r="M48" s="13"/>
      <c r="P48" s="30" t="s">
        <v>20</v>
      </c>
      <c r="Q48" s="47">
        <f>F49</f>
        <v>-0.16591671757454829</v>
      </c>
    </row>
    <row r="49" spans="5:17">
      <c r="E49" s="62" t="s">
        <v>12</v>
      </c>
      <c r="F49" s="4">
        <f>(PRODUCT(G3:G38))^(12/COUNT(G3:G38))-1</f>
        <v>-0.16591671757454829</v>
      </c>
      <c r="G49" s="64" t="str">
        <f t="shared" ca="1" si="11"/>
        <v>=(PRODUCT(G3:G38))^(12/COUNT(G3:G38))-1</v>
      </c>
      <c r="J49" s="13">
        <v>45899</v>
      </c>
      <c r="K49">
        <v>4.2283999999999997</v>
      </c>
      <c r="L49" s="5"/>
      <c r="M49" s="13"/>
      <c r="P49" s="29" t="s">
        <v>45</v>
      </c>
      <c r="Q49" s="48">
        <f>F58</f>
        <v>0.33333333333333331</v>
      </c>
    </row>
    <row r="50" spans="5:17">
      <c r="E50" s="62" t="s">
        <v>47</v>
      </c>
      <c r="F50" s="8">
        <f>MAX(F3:F38)</f>
        <v>0.50031252477180432</v>
      </c>
      <c r="G50" s="64" t="str">
        <f t="shared" ca="1" si="11"/>
        <v>=MAX(F3:F38)</v>
      </c>
      <c r="J50" s="79">
        <v>45868</v>
      </c>
      <c r="K50">
        <v>4.3739999999999997</v>
      </c>
      <c r="M50" s="13"/>
      <c r="P50" s="30" t="s">
        <v>43</v>
      </c>
      <c r="Q50" s="48">
        <f>F59</f>
        <v>0.66666666666666663</v>
      </c>
    </row>
    <row r="51" spans="5:17">
      <c r="E51" s="62" t="s">
        <v>44</v>
      </c>
      <c r="F51" s="8">
        <f>MIN(F3:F38)</f>
        <v>-0.24835983905670578</v>
      </c>
      <c r="G51" s="64" t="str">
        <f t="shared" ca="1" si="11"/>
        <v>=MIN(F3:F38)</v>
      </c>
      <c r="J51" s="13">
        <v>45838</v>
      </c>
      <c r="K51">
        <v>4.2279999999999998</v>
      </c>
      <c r="M51" s="13"/>
      <c r="P51" s="29" t="s">
        <v>21</v>
      </c>
      <c r="Q51" s="47">
        <f>F52</f>
        <v>0.50870620337706618</v>
      </c>
    </row>
    <row r="52" spans="5:17">
      <c r="E52" s="62" t="s">
        <v>17</v>
      </c>
      <c r="F52" s="4">
        <f>F46*SQRT(12)</f>
        <v>0.50870620337706618</v>
      </c>
      <c r="G52" t="str">
        <f ca="1">_xlfn.FORMULATEXT(F52)</f>
        <v>=F46*SQRT(12)</v>
      </c>
      <c r="J52" s="13">
        <v>45807</v>
      </c>
      <c r="K52">
        <v>4.4004000000000003</v>
      </c>
      <c r="M52" s="13"/>
      <c r="P52" s="30" t="s">
        <v>22</v>
      </c>
      <c r="Q52" s="49">
        <f>F55</f>
        <v>-0.40884496039924773</v>
      </c>
    </row>
    <row r="53" spans="5:17">
      <c r="E53" s="62" t="s">
        <v>18</v>
      </c>
      <c r="F53" s="4">
        <f>F47*SQRT(12)</f>
        <v>0.7292527000666007</v>
      </c>
      <c r="G53" t="str">
        <f t="shared" ca="1" si="11"/>
        <v>=F47*SQRT(12)</v>
      </c>
      <c r="J53" s="79">
        <v>45777</v>
      </c>
      <c r="K53">
        <v>4.1619000000000002</v>
      </c>
      <c r="L53" s="5"/>
      <c r="M53" s="13"/>
      <c r="P53" s="29"/>
      <c r="Q53" s="35"/>
    </row>
    <row r="54" spans="5:17">
      <c r="E54" s="71" t="s">
        <v>5</v>
      </c>
      <c r="F54" s="74">
        <f>J47/100</f>
        <v>4.2065249999999998E-2</v>
      </c>
      <c r="G54" t="str">
        <f t="shared" ca="1" si="11"/>
        <v>=J47/100</v>
      </c>
      <c r="J54" s="13">
        <v>45747</v>
      </c>
      <c r="K54" s="65">
        <v>4.2053000000000003</v>
      </c>
      <c r="L54" s="5"/>
      <c r="M54" s="13"/>
      <c r="Q54" s="46"/>
    </row>
    <row r="55" spans="5:17">
      <c r="E55" s="71" t="s">
        <v>3</v>
      </c>
      <c r="F55" s="72">
        <f>(F49-F54)/F52</f>
        <v>-0.40884496039924773</v>
      </c>
      <c r="G55" t="str">
        <f t="shared" ca="1" si="11"/>
        <v>=(F49-F54)/F52</v>
      </c>
      <c r="J55" s="13">
        <v>45716</v>
      </c>
      <c r="K55" s="65">
        <v>4.2081999999999997</v>
      </c>
      <c r="L55" s="5"/>
      <c r="M55" s="13"/>
      <c r="P55" s="12"/>
      <c r="Q55" s="19"/>
    </row>
    <row r="56" spans="5:17">
      <c r="E56" s="62" t="s">
        <v>19</v>
      </c>
      <c r="F56" s="4">
        <f>E36/E32-1</f>
        <v>-0.41472743677698798</v>
      </c>
      <c r="G56" s="64" t="str">
        <f t="shared" ca="1" si="11"/>
        <v>=E36/E32-1</v>
      </c>
      <c r="J56" s="13">
        <v>45688</v>
      </c>
      <c r="K56" s="65">
        <v>4.5387000000000004</v>
      </c>
      <c r="L56" s="5"/>
      <c r="M56" s="13"/>
    </row>
    <row r="57" spans="5:17">
      <c r="E57" s="62" t="s">
        <v>14</v>
      </c>
      <c r="F57" s="7">
        <f>COUNT(F3:F38)</f>
        <v>36</v>
      </c>
      <c r="G57" s="64" t="str">
        <f t="shared" ca="1" si="11"/>
        <v>=COUNT(F3:F38)</v>
      </c>
      <c r="J57" s="13">
        <v>45657</v>
      </c>
      <c r="K57" s="65">
        <v>4.569</v>
      </c>
      <c r="L57" s="5"/>
      <c r="M57" s="13"/>
    </row>
    <row r="58" spans="5:17">
      <c r="E58" s="62" t="s">
        <v>15</v>
      </c>
      <c r="F58" s="51">
        <f>COUNTIF(F3:F38,"&gt;0")/F57</f>
        <v>0.33333333333333331</v>
      </c>
      <c r="G58" s="64" t="str">
        <f t="shared" ca="1" si="11"/>
        <v>=COUNTIF(F3:F38,"&gt;0")/F57</v>
      </c>
      <c r="J58" s="13">
        <v>45625</v>
      </c>
      <c r="K58" s="65">
        <v>4.1684999999999999</v>
      </c>
      <c r="L58" s="5"/>
      <c r="M58" s="13"/>
    </row>
    <row r="59" spans="5:17" ht="16.8" thickBot="1">
      <c r="E59" s="63" t="s">
        <v>16</v>
      </c>
      <c r="F59" s="53">
        <f>COUNTIF(F3:F38,"&lt;0")/F57</f>
        <v>0.66666666666666663</v>
      </c>
      <c r="G59" s="64" t="str">
        <f t="shared" ca="1" si="11"/>
        <v>=COUNTIF(F3:F38,"&lt;0")/F57</v>
      </c>
      <c r="J59" s="13">
        <v>45596</v>
      </c>
      <c r="K59" s="65">
        <v>4.2843999999999998</v>
      </c>
      <c r="L59" s="5"/>
      <c r="M59" s="13"/>
    </row>
    <row r="60" spans="5:17">
      <c r="J60" s="13">
        <v>45565</v>
      </c>
      <c r="K60" s="65">
        <v>3.7808999999999999</v>
      </c>
      <c r="L60" s="5"/>
      <c r="M60" s="13"/>
    </row>
    <row r="61" spans="5:17">
      <c r="J61" s="13">
        <v>45534</v>
      </c>
      <c r="K61">
        <v>3.9034</v>
      </c>
      <c r="L61" s="5"/>
      <c r="M61" s="13"/>
    </row>
    <row r="62" spans="5:17">
      <c r="J62" s="13">
        <v>45504</v>
      </c>
      <c r="K62">
        <v>4.0296000000000003</v>
      </c>
      <c r="L62" s="5"/>
      <c r="M62" s="13"/>
    </row>
    <row r="63" spans="5:17">
      <c r="J63" s="13">
        <v>45471</v>
      </c>
      <c r="K63">
        <v>4.3960999999999997</v>
      </c>
      <c r="L63" s="5"/>
      <c r="M63" s="13"/>
    </row>
    <row r="64" spans="5:17">
      <c r="J64" s="13">
        <v>45443</v>
      </c>
      <c r="K64">
        <v>4.4984999999999999</v>
      </c>
      <c r="L64" s="5"/>
      <c r="M64" s="13"/>
    </row>
    <row r="65" spans="10:13">
      <c r="J65" s="13">
        <v>45412</v>
      </c>
      <c r="K65">
        <v>4.6798000000000002</v>
      </c>
      <c r="M65" s="13"/>
    </row>
    <row r="66" spans="10:13">
      <c r="J66" s="13">
        <v>45380</v>
      </c>
      <c r="K66">
        <v>4.2003000000000004</v>
      </c>
      <c r="M66" s="13"/>
    </row>
    <row r="67" spans="10:13">
      <c r="J67" s="13">
        <v>45351</v>
      </c>
      <c r="K67">
        <v>4.2502000000000004</v>
      </c>
      <c r="M67" s="13"/>
    </row>
    <row r="68" spans="10:13">
      <c r="J68" s="13">
        <v>45322</v>
      </c>
      <c r="K68">
        <v>3.9123999999999999</v>
      </c>
      <c r="M68" s="13"/>
    </row>
    <row r="69" spans="10:13">
      <c r="J69" s="13">
        <v>45289</v>
      </c>
      <c r="K69">
        <v>3.8791000000000002</v>
      </c>
      <c r="M69" s="13"/>
    </row>
    <row r="70" spans="10:13">
      <c r="J70" s="13">
        <v>45260</v>
      </c>
      <c r="K70">
        <v>4.3263999999999996</v>
      </c>
      <c r="M70" s="13"/>
    </row>
    <row r="71" spans="10:13">
      <c r="J71" s="13">
        <v>45230</v>
      </c>
      <c r="K71">
        <v>4.9306999999999999</v>
      </c>
    </row>
    <row r="72" spans="10:13">
      <c r="J72" s="13">
        <v>45198</v>
      </c>
      <c r="K72">
        <v>4.5711000000000004</v>
      </c>
    </row>
    <row r="73" spans="10:13">
      <c r="J73" s="13">
        <v>45169</v>
      </c>
      <c r="K73">
        <v>4.1081000000000003</v>
      </c>
    </row>
    <row r="74" spans="10:13">
      <c r="J74" s="13">
        <v>45138</v>
      </c>
      <c r="K74">
        <v>3.9588000000000001</v>
      </c>
    </row>
    <row r="75" spans="10:13">
      <c r="J75" s="13">
        <v>45107</v>
      </c>
      <c r="K75">
        <v>3.8367</v>
      </c>
    </row>
    <row r="76" spans="10:13">
      <c r="J76" s="13">
        <v>45077</v>
      </c>
      <c r="K76">
        <v>3.6425999999999998</v>
      </c>
    </row>
    <row r="77" spans="10:13">
      <c r="J77" s="13">
        <v>45044</v>
      </c>
      <c r="K77">
        <v>3.4220000000000002</v>
      </c>
    </row>
    <row r="78" spans="10:13">
      <c r="J78" s="13">
        <v>45016</v>
      </c>
      <c r="K78" s="5">
        <v>3.4676</v>
      </c>
    </row>
    <row r="79" spans="10:13">
      <c r="J79" s="13">
        <v>44985</v>
      </c>
      <c r="K79" s="5">
        <v>3.92</v>
      </c>
    </row>
    <row r="80" spans="10:13">
      <c r="J80" s="13">
        <v>44957</v>
      </c>
      <c r="K80" s="5">
        <v>3.5068999999999999</v>
      </c>
    </row>
    <row r="81" spans="10:11">
      <c r="J81" s="13">
        <v>44925</v>
      </c>
      <c r="K81" s="5">
        <v>3.8748</v>
      </c>
    </row>
    <row r="82" spans="10:11">
      <c r="J82" s="13">
        <v>44895</v>
      </c>
      <c r="K82" s="5">
        <v>3.6053999999999999</v>
      </c>
    </row>
    <row r="83" spans="10:11">
      <c r="J83" s="25">
        <v>44865</v>
      </c>
      <c r="K83" s="5">
        <v>4.0477999999999996</v>
      </c>
    </row>
    <row r="84" spans="10:11">
      <c r="J84" s="13">
        <v>44834</v>
      </c>
      <c r="K84" s="5">
        <v>3.8285999999999998</v>
      </c>
    </row>
    <row r="85" spans="10:11">
      <c r="J85" s="13">
        <v>44804</v>
      </c>
      <c r="K85" s="5">
        <v>3.1926000000000001</v>
      </c>
    </row>
    <row r="86" spans="10:11">
      <c r="J86" s="13">
        <v>44772</v>
      </c>
      <c r="K86" s="5">
        <v>2.6486999999999998</v>
      </c>
    </row>
    <row r="87" spans="10:11">
      <c r="J87" s="13">
        <v>44742</v>
      </c>
      <c r="K87" s="5">
        <v>3.0129000000000001</v>
      </c>
    </row>
    <row r="88" spans="10:11">
      <c r="J88" s="13">
        <v>44711</v>
      </c>
      <c r="K88" s="5">
        <v>2.8441000000000001</v>
      </c>
    </row>
    <row r="89" spans="10:11">
      <c r="J89" s="13">
        <v>44680</v>
      </c>
      <c r="K89" s="5">
        <v>2.9336000000000002</v>
      </c>
    </row>
    <row r="90" spans="10:11">
      <c r="J90" s="13">
        <v>44651</v>
      </c>
      <c r="K90" s="5">
        <v>2.3433999999999999</v>
      </c>
    </row>
    <row r="91" spans="10:11">
      <c r="J91" s="13">
        <v>44620</v>
      </c>
      <c r="K91" s="5">
        <v>1.825</v>
      </c>
    </row>
    <row r="92" spans="10:11">
      <c r="J92" s="13">
        <v>44592</v>
      </c>
      <c r="K92" s="5">
        <v>1.7766999999999999</v>
      </c>
    </row>
    <row r="93" spans="10:11">
      <c r="J93" s="13">
        <v>44561</v>
      </c>
      <c r="K93" s="5">
        <v>1.5101</v>
      </c>
    </row>
    <row r="94" spans="10:11">
      <c r="J94" s="13">
        <v>44530</v>
      </c>
      <c r="K94" s="5">
        <v>1.4442999999999999</v>
      </c>
    </row>
    <row r="95" spans="10:11">
      <c r="J95" s="13">
        <v>44498</v>
      </c>
      <c r="K95" s="5">
        <v>1.5521</v>
      </c>
    </row>
    <row r="96" spans="10:11">
      <c r="J96" s="13" t="s">
        <v>24</v>
      </c>
      <c r="K96" s="5">
        <v>1.4873000000000001</v>
      </c>
    </row>
    <row r="97" spans="10:11">
      <c r="J97" s="13">
        <v>44439</v>
      </c>
      <c r="K97" s="5">
        <v>1.3088</v>
      </c>
    </row>
    <row r="98" spans="10:11">
      <c r="J98" s="13">
        <v>44408</v>
      </c>
      <c r="K98" s="5">
        <v>1.2222999999999999</v>
      </c>
    </row>
    <row r="99" spans="10:11">
      <c r="J99" s="13">
        <v>44377</v>
      </c>
      <c r="K99" s="5">
        <v>1.468</v>
      </c>
    </row>
    <row r="100" spans="10:11">
      <c r="J100" s="13">
        <v>44347</v>
      </c>
      <c r="K100" s="5">
        <v>1.5943000000000001</v>
      </c>
    </row>
    <row r="101" spans="10:11">
      <c r="J101" s="13">
        <v>44316</v>
      </c>
      <c r="K101" s="5">
        <v>1.6259000000000001</v>
      </c>
    </row>
    <row r="102" spans="10:11">
      <c r="J102" s="13">
        <v>44286</v>
      </c>
      <c r="K102" s="5">
        <v>1.7403999999999999</v>
      </c>
    </row>
    <row r="103" spans="10:11">
      <c r="J103" s="13">
        <v>44253</v>
      </c>
      <c r="K103" s="5">
        <v>1.4049</v>
      </c>
    </row>
    <row r="104" spans="10:11">
      <c r="J104" s="13">
        <v>44225</v>
      </c>
      <c r="K104" s="5">
        <v>1.0655000000000001</v>
      </c>
    </row>
    <row r="105" spans="10:11">
      <c r="J105" s="13">
        <v>44196</v>
      </c>
      <c r="K105" s="5">
        <v>0.91320000000000001</v>
      </c>
    </row>
    <row r="106" spans="10:11">
      <c r="J106" s="13">
        <v>44165</v>
      </c>
      <c r="K106" s="5">
        <v>0.83889999999999998</v>
      </c>
    </row>
    <row r="107" spans="10:11">
      <c r="J107" s="13">
        <v>44134</v>
      </c>
      <c r="K107" s="5">
        <v>0.87370000000000003</v>
      </c>
    </row>
    <row r="108" spans="10:11">
      <c r="J108" s="13">
        <v>44104</v>
      </c>
      <c r="K108" s="5">
        <v>0.68400000000000005</v>
      </c>
    </row>
    <row r="109" spans="10:11">
      <c r="J109" s="13">
        <v>44074</v>
      </c>
      <c r="K109" s="5">
        <v>0.70479999999999998</v>
      </c>
    </row>
    <row r="110" spans="10:11">
      <c r="J110" s="13">
        <v>44043</v>
      </c>
      <c r="K110" s="5">
        <v>0.5282</v>
      </c>
    </row>
    <row r="111" spans="10:11">
      <c r="J111" s="13">
        <v>44012</v>
      </c>
      <c r="K111" s="5">
        <v>0.65610000000000002</v>
      </c>
    </row>
  </sheetData>
  <mergeCells count="1">
    <mergeCell ref="E40:F41"/>
  </mergeCells>
  <phoneticPr fontId="30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63697-81BA-4706-826F-D37979BE2566}">
  <dimension ref="A1:AG103"/>
  <sheetViews>
    <sheetView topLeftCell="A13" zoomScale="70" zoomScaleNormal="70" workbookViewId="0">
      <selection activeCell="K39" sqref="K39"/>
    </sheetView>
  </sheetViews>
  <sheetFormatPr defaultRowHeight="16.2"/>
  <cols>
    <col min="1" max="1" width="31.5546875" customWidth="1"/>
    <col min="2" max="2" width="17.33203125" bestFit="1" customWidth="1"/>
    <col min="3" max="3" width="16.21875" customWidth="1"/>
    <col min="4" max="4" width="17" customWidth="1"/>
    <col min="5" max="5" width="28" customWidth="1"/>
    <col min="6" max="6" width="21.44140625" customWidth="1"/>
    <col min="7" max="7" width="20.44140625" customWidth="1"/>
    <col min="8" max="9" width="15.77734375" customWidth="1"/>
    <col min="10" max="10" width="11.5546875" customWidth="1"/>
    <col min="13" max="13" width="10.6640625" bestFit="1" customWidth="1"/>
    <col min="16" max="16" width="27.21875" customWidth="1"/>
    <col min="17" max="17" width="10" bestFit="1" customWidth="1"/>
    <col min="19" max="19" width="27.109375" customWidth="1"/>
    <col min="20" max="20" width="9.44140625" bestFit="1" customWidth="1"/>
  </cols>
  <sheetData>
    <row r="1" spans="2:33">
      <c r="B1" t="s">
        <v>55</v>
      </c>
      <c r="C1" s="75" t="s">
        <v>53</v>
      </c>
      <c r="E1" t="s">
        <v>0</v>
      </c>
      <c r="F1" t="s">
        <v>8</v>
      </c>
      <c r="H1" s="67" t="s">
        <v>56</v>
      </c>
      <c r="I1" s="67" t="s">
        <v>50</v>
      </c>
    </row>
    <row r="2" spans="2:33">
      <c r="D2" t="s">
        <v>25</v>
      </c>
      <c r="E2">
        <v>100</v>
      </c>
    </row>
    <row r="3" spans="2:33">
      <c r="B3">
        <v>5000</v>
      </c>
      <c r="C3" s="38">
        <v>515058.38</v>
      </c>
      <c r="D3" s="37">
        <v>44749</v>
      </c>
      <c r="E3" s="2">
        <f>C3/B3</f>
        <v>103.01167599999999</v>
      </c>
      <c r="F3" s="1">
        <f>(E3-100)/100</f>
        <v>3.0116759999999944E-2</v>
      </c>
      <c r="G3" s="22">
        <f>F3+1</f>
        <v>1.0301167599999999</v>
      </c>
    </row>
    <row r="4" spans="2:33">
      <c r="B4">
        <v>5000</v>
      </c>
      <c r="C4" s="38">
        <v>526213.68000000005</v>
      </c>
      <c r="D4" s="37">
        <v>44780</v>
      </c>
      <c r="E4" s="2">
        <f t="shared" ref="E4:E32" si="0">C4/B4</f>
        <v>105.24273600000001</v>
      </c>
      <c r="F4" s="1">
        <f>E4/E3-1</f>
        <v>2.1658321528522873E-2</v>
      </c>
      <c r="G4" s="22">
        <f>F4+1</f>
        <v>1.0216583215285229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2:33">
      <c r="B5">
        <v>5000</v>
      </c>
      <c r="C5" s="38">
        <v>499085</v>
      </c>
      <c r="D5" s="54">
        <v>44811</v>
      </c>
      <c r="E5" s="2">
        <f t="shared" si="0"/>
        <v>99.816999999999993</v>
      </c>
      <c r="F5" s="1">
        <f t="shared" ref="F5:F14" si="1">E5/E4-1</f>
        <v>-5.1554493984269034E-2</v>
      </c>
      <c r="G5" s="22">
        <f>F5+1</f>
        <v>0.94844550601573097</v>
      </c>
    </row>
    <row r="6" spans="2:33">
      <c r="B6">
        <v>8000</v>
      </c>
      <c r="C6" s="38">
        <v>784518</v>
      </c>
      <c r="D6" s="37">
        <v>44835</v>
      </c>
      <c r="E6" s="2">
        <f t="shared" si="0"/>
        <v>98.064750000000004</v>
      </c>
      <c r="F6" s="1">
        <f t="shared" si="1"/>
        <v>-1.755462496368343E-2</v>
      </c>
      <c r="G6" s="22">
        <f t="shared" ref="G6:G13" si="2">F6+1</f>
        <v>0.98244537503631657</v>
      </c>
    </row>
    <row r="7" spans="2:33">
      <c r="B7">
        <v>8000</v>
      </c>
      <c r="C7" s="38">
        <v>788818</v>
      </c>
      <c r="D7" s="37">
        <v>44866</v>
      </c>
      <c r="E7" s="2">
        <f t="shared" si="0"/>
        <v>98.602249999999998</v>
      </c>
      <c r="F7" s="1">
        <f t="shared" si="1"/>
        <v>5.4810724546792144E-3</v>
      </c>
      <c r="G7" s="22">
        <f t="shared" si="2"/>
        <v>1.0054810724546792</v>
      </c>
    </row>
    <row r="8" spans="2:33">
      <c r="B8">
        <v>8000</v>
      </c>
      <c r="C8" s="38">
        <v>764376</v>
      </c>
      <c r="D8" s="54">
        <v>44896</v>
      </c>
      <c r="E8" s="2">
        <f t="shared" si="0"/>
        <v>95.546999999999997</v>
      </c>
      <c r="F8" s="1">
        <f t="shared" si="1"/>
        <v>-3.0985601241350968E-2</v>
      </c>
      <c r="G8" s="22">
        <f t="shared" si="2"/>
        <v>0.96901439875864903</v>
      </c>
      <c r="I8" s="1">
        <f>E8/E2-1</f>
        <v>-4.453000000000007E-2</v>
      </c>
    </row>
    <row r="9" spans="2:33">
      <c r="B9">
        <v>8000</v>
      </c>
      <c r="C9" s="38">
        <v>743817</v>
      </c>
      <c r="D9" s="37">
        <v>44927</v>
      </c>
      <c r="E9" s="2">
        <f t="shared" si="0"/>
        <v>92.977125000000001</v>
      </c>
      <c r="F9" s="1">
        <f t="shared" si="1"/>
        <v>-2.6896448868096279E-2</v>
      </c>
      <c r="G9" s="22">
        <f t="shared" si="2"/>
        <v>0.97310355113190372</v>
      </c>
      <c r="I9" s="1"/>
    </row>
    <row r="10" spans="2:33">
      <c r="B10">
        <v>8000</v>
      </c>
      <c r="C10" s="38">
        <v>689680</v>
      </c>
      <c r="D10" s="37">
        <v>44958</v>
      </c>
      <c r="E10" s="2">
        <f t="shared" si="0"/>
        <v>86.21</v>
      </c>
      <c r="F10" s="1">
        <f t="shared" si="1"/>
        <v>-7.2782687139444358E-2</v>
      </c>
      <c r="G10" s="22">
        <f t="shared" si="2"/>
        <v>0.92721731286055564</v>
      </c>
      <c r="I10" s="1"/>
    </row>
    <row r="11" spans="2:33">
      <c r="B11">
        <v>8000</v>
      </c>
      <c r="C11" s="38">
        <v>671320</v>
      </c>
      <c r="D11" s="54">
        <v>44986</v>
      </c>
      <c r="E11" s="2">
        <f t="shared" si="0"/>
        <v>83.915000000000006</v>
      </c>
      <c r="F11" s="1">
        <f t="shared" si="1"/>
        <v>-2.6621041642500676E-2</v>
      </c>
      <c r="G11" s="22">
        <f t="shared" si="2"/>
        <v>0.97337895835749932</v>
      </c>
      <c r="H11" s="1">
        <f>E11/E8-1</f>
        <v>-0.12174113263629405</v>
      </c>
      <c r="I11" s="1"/>
    </row>
    <row r="12" spans="2:33">
      <c r="B12">
        <v>8000</v>
      </c>
      <c r="C12" s="38">
        <v>629655</v>
      </c>
      <c r="D12" s="58">
        <v>45017</v>
      </c>
      <c r="E12" s="2">
        <f t="shared" si="0"/>
        <v>78.706874999999997</v>
      </c>
      <c r="F12" s="1">
        <f t="shared" si="1"/>
        <v>-6.2064291247095338E-2</v>
      </c>
      <c r="G12" s="22">
        <f t="shared" si="2"/>
        <v>0.93793570875290466</v>
      </c>
      <c r="H12" s="1"/>
      <c r="I12" s="1"/>
    </row>
    <row r="13" spans="2:33">
      <c r="B13">
        <v>8000</v>
      </c>
      <c r="C13" s="38">
        <v>615713</v>
      </c>
      <c r="D13" s="37">
        <v>45047</v>
      </c>
      <c r="E13" s="2">
        <f t="shared" si="0"/>
        <v>76.964124999999996</v>
      </c>
      <c r="F13" s="1">
        <f t="shared" si="1"/>
        <v>-2.2142284266780998E-2</v>
      </c>
      <c r="G13" s="22">
        <f t="shared" si="2"/>
        <v>0.977857715733219</v>
      </c>
      <c r="H13" s="1"/>
      <c r="I13" s="1"/>
    </row>
    <row r="14" spans="2:33">
      <c r="B14">
        <v>8000</v>
      </c>
      <c r="C14" s="38">
        <v>638413</v>
      </c>
      <c r="D14" s="59">
        <v>45078</v>
      </c>
      <c r="E14" s="2">
        <f t="shared" si="0"/>
        <v>79.801625000000001</v>
      </c>
      <c r="F14" s="1">
        <f t="shared" si="1"/>
        <v>3.6867826406134174E-2</v>
      </c>
      <c r="G14" s="22">
        <f>F14+1</f>
        <v>1.0368678264061342</v>
      </c>
      <c r="H14" s="1">
        <f>E14/E11-1</f>
        <v>-4.9018351903712176E-2</v>
      </c>
      <c r="I14" s="1">
        <f>E14/E8-1</f>
        <v>-0.1647919348592839</v>
      </c>
    </row>
    <row r="15" spans="2:33">
      <c r="B15">
        <v>8000</v>
      </c>
      <c r="C15" s="38">
        <v>696245</v>
      </c>
      <c r="D15" s="58">
        <v>45108</v>
      </c>
      <c r="E15" s="2">
        <f t="shared" si="0"/>
        <v>87.030625000000001</v>
      </c>
      <c r="F15" s="1">
        <f>E15/E14-1</f>
        <v>9.0587127768388065E-2</v>
      </c>
      <c r="G15" s="22">
        <f t="shared" ref="G15:G16" si="3">F15+1</f>
        <v>1.0905871277683881</v>
      </c>
      <c r="H15" s="1"/>
      <c r="I15" s="1"/>
    </row>
    <row r="16" spans="2:33">
      <c r="B16">
        <v>8000</v>
      </c>
      <c r="C16" s="38">
        <v>645317</v>
      </c>
      <c r="D16" s="37">
        <v>45139</v>
      </c>
      <c r="E16" s="2">
        <f t="shared" si="0"/>
        <v>80.664625000000001</v>
      </c>
      <c r="F16" s="1">
        <f t="shared" ref="F16" si="4">E16/E15-1</f>
        <v>-7.3146665326142335E-2</v>
      </c>
      <c r="G16" s="22">
        <f t="shared" si="3"/>
        <v>0.92685333467385767</v>
      </c>
      <c r="H16" s="1"/>
      <c r="I16" s="1"/>
    </row>
    <row r="17" spans="1:9">
      <c r="B17">
        <v>8000</v>
      </c>
      <c r="C17" s="38">
        <v>609314</v>
      </c>
      <c r="D17" s="59">
        <v>45170</v>
      </c>
      <c r="E17" s="2">
        <f t="shared" si="0"/>
        <v>76.164249999999996</v>
      </c>
      <c r="F17" s="1">
        <f>E17/E16-1</f>
        <v>-5.5791184797549187E-2</v>
      </c>
      <c r="G17" s="22">
        <f>F17+1</f>
        <v>0.94420881520245081</v>
      </c>
      <c r="H17" s="1">
        <f>E17/E14-1</f>
        <v>-4.5580212182396052E-2</v>
      </c>
      <c r="I17" s="1">
        <f>E17/E8-1</f>
        <v>-0.20286089568484622</v>
      </c>
    </row>
    <row r="18" spans="1:9">
      <c r="B18">
        <v>8000</v>
      </c>
      <c r="C18" s="38">
        <v>585753</v>
      </c>
      <c r="D18" s="58">
        <v>45200</v>
      </c>
      <c r="E18" s="2">
        <f t="shared" si="0"/>
        <v>73.219125000000005</v>
      </c>
      <c r="F18" s="1">
        <f t="shared" ref="F18:F23" si="5">E18/E17-1</f>
        <v>-3.8668075901751697E-2</v>
      </c>
      <c r="G18" s="22">
        <f t="shared" ref="G18:G25" si="6">F18+1</f>
        <v>0.9613319240982483</v>
      </c>
      <c r="H18" s="1"/>
      <c r="I18" s="1"/>
    </row>
    <row r="19" spans="1:9">
      <c r="B19">
        <v>8000</v>
      </c>
      <c r="C19" s="38">
        <v>545974</v>
      </c>
      <c r="D19" s="37">
        <v>45231</v>
      </c>
      <c r="E19" s="2">
        <f t="shared" si="0"/>
        <v>68.246750000000006</v>
      </c>
      <c r="F19" s="1">
        <f t="shared" si="5"/>
        <v>-6.7910877110317847E-2</v>
      </c>
      <c r="G19" s="22">
        <f t="shared" si="6"/>
        <v>0.93208912288968215</v>
      </c>
      <c r="H19" s="1"/>
      <c r="I19" s="1"/>
    </row>
    <row r="20" spans="1:9">
      <c r="B20">
        <v>8000</v>
      </c>
      <c r="C20" s="38">
        <v>630785</v>
      </c>
      <c r="D20" s="59">
        <v>45261</v>
      </c>
      <c r="E20" s="2">
        <f t="shared" si="0"/>
        <v>78.848124999999996</v>
      </c>
      <c r="F20" s="1">
        <f t="shared" si="5"/>
        <v>0.15533889892192643</v>
      </c>
      <c r="G20" s="22">
        <f t="shared" si="6"/>
        <v>1.1553388989219264</v>
      </c>
      <c r="H20" s="1">
        <f>E20/E17-1</f>
        <v>3.5237988951509314E-2</v>
      </c>
      <c r="I20" s="1">
        <f>E20/E8-1</f>
        <v>-0.17477131673417268</v>
      </c>
    </row>
    <row r="21" spans="1:9">
      <c r="B21">
        <v>8000</v>
      </c>
      <c r="C21" s="38">
        <v>606777</v>
      </c>
      <c r="D21" s="58">
        <v>45292</v>
      </c>
      <c r="E21" s="2">
        <f t="shared" si="0"/>
        <v>75.847125000000005</v>
      </c>
      <c r="F21" s="1">
        <f t="shared" si="5"/>
        <v>-3.8060511901836458E-2</v>
      </c>
      <c r="G21" s="22">
        <f t="shared" si="6"/>
        <v>0.96193948809816354</v>
      </c>
      <c r="H21" s="1"/>
      <c r="I21" s="1"/>
    </row>
    <row r="22" spans="1:9">
      <c r="B22">
        <v>8000</v>
      </c>
      <c r="C22" s="38">
        <v>811963</v>
      </c>
      <c r="D22" s="37">
        <v>45323</v>
      </c>
      <c r="E22" s="2">
        <f t="shared" si="0"/>
        <v>101.495375</v>
      </c>
      <c r="F22" s="1">
        <f t="shared" si="5"/>
        <v>0.33815718130383954</v>
      </c>
      <c r="G22" s="22">
        <f t="shared" si="6"/>
        <v>1.3381571813038395</v>
      </c>
      <c r="H22" s="1"/>
      <c r="I22" s="1"/>
    </row>
    <row r="23" spans="1:9">
      <c r="B23">
        <v>8000</v>
      </c>
      <c r="C23" s="38">
        <v>610304</v>
      </c>
      <c r="D23" s="59">
        <v>45352</v>
      </c>
      <c r="E23" s="2">
        <f t="shared" si="0"/>
        <v>76.287999999999997</v>
      </c>
      <c r="F23" s="1">
        <f t="shared" si="5"/>
        <v>-0.24835983905670578</v>
      </c>
      <c r="G23" s="22">
        <f t="shared" si="6"/>
        <v>0.75164016094329422</v>
      </c>
      <c r="H23" s="1">
        <f>E23/E20-1</f>
        <v>-3.2469066322122431E-2</v>
      </c>
      <c r="I23" s="1">
        <f>E23/E20-1</f>
        <v>-3.2469066322122431E-2</v>
      </c>
    </row>
    <row r="24" spans="1:9">
      <c r="B24">
        <v>8000</v>
      </c>
      <c r="C24" s="68">
        <v>571946</v>
      </c>
      <c r="D24" s="58">
        <v>45383</v>
      </c>
      <c r="E24" s="2">
        <f t="shared" si="0"/>
        <v>71.493250000000003</v>
      </c>
      <c r="F24" s="1">
        <f t="shared" ref="F24:F29" si="7">E24/E23-1</f>
        <v>-6.2850644924496546E-2</v>
      </c>
      <c r="G24" s="22">
        <f t="shared" si="6"/>
        <v>0.93714935507550345</v>
      </c>
      <c r="H24" s="1"/>
      <c r="I24" s="1"/>
    </row>
    <row r="25" spans="1:9">
      <c r="B25">
        <v>8000</v>
      </c>
      <c r="C25" s="38">
        <v>619522</v>
      </c>
      <c r="D25" s="37">
        <v>45413</v>
      </c>
      <c r="E25" s="2">
        <f t="shared" si="0"/>
        <v>77.440250000000006</v>
      </c>
      <c r="F25" s="1">
        <f t="shared" si="7"/>
        <v>8.3182678084994022E-2</v>
      </c>
      <c r="G25" s="22">
        <f t="shared" si="6"/>
        <v>1.083182678084994</v>
      </c>
      <c r="H25" s="1"/>
      <c r="I25" s="1"/>
    </row>
    <row r="26" spans="1:9">
      <c r="A26" s="70"/>
      <c r="B26">
        <v>8000</v>
      </c>
      <c r="C26" s="38">
        <v>543102</v>
      </c>
      <c r="D26" s="59">
        <v>45444</v>
      </c>
      <c r="E26" s="2">
        <f t="shared" si="0"/>
        <v>67.887749999999997</v>
      </c>
      <c r="F26" s="1">
        <f t="shared" si="7"/>
        <v>-0.12335316582784805</v>
      </c>
      <c r="G26" s="22">
        <f>F26+1</f>
        <v>0.87664683417215195</v>
      </c>
      <c r="H26" s="1">
        <f>E26/E23-1</f>
        <v>-0.11011233745805371</v>
      </c>
      <c r="I26" s="1">
        <f>E26/$E$20-1</f>
        <v>-0.13900615899236668</v>
      </c>
    </row>
    <row r="27" spans="1:9">
      <c r="A27" s="70"/>
      <c r="B27">
        <v>8000</v>
      </c>
      <c r="C27" s="38">
        <v>546043</v>
      </c>
      <c r="D27" s="58">
        <v>45474</v>
      </c>
      <c r="E27" s="2">
        <f t="shared" si="0"/>
        <v>68.255375000000001</v>
      </c>
      <c r="F27" s="1">
        <f t="shared" si="7"/>
        <v>5.4151890436788808E-3</v>
      </c>
      <c r="G27" s="22">
        <f>F27+1</f>
        <v>1.0054151890436789</v>
      </c>
      <c r="H27" s="1"/>
      <c r="I27" s="1"/>
    </row>
    <row r="28" spans="1:9">
      <c r="A28" s="70" t="s">
        <v>54</v>
      </c>
      <c r="B28">
        <v>7840</v>
      </c>
      <c r="C28" s="38">
        <f>461939.66</f>
        <v>461939.66</v>
      </c>
      <c r="D28" s="37">
        <v>45505</v>
      </c>
      <c r="E28" s="2">
        <f t="shared" si="0"/>
        <v>58.920874999999995</v>
      </c>
      <c r="F28" s="1">
        <f t="shared" si="7"/>
        <v>-0.13675846041428985</v>
      </c>
      <c r="G28" s="22">
        <f>F28+1</f>
        <v>0.86324153958571015</v>
      </c>
      <c r="H28" s="1"/>
      <c r="I28" s="1"/>
    </row>
    <row r="29" spans="1:9">
      <c r="A29" s="70"/>
      <c r="B29">
        <v>7683.2</v>
      </c>
      <c r="C29" s="38">
        <f>425921.08</f>
        <v>425921.08</v>
      </c>
      <c r="D29" s="76">
        <v>45536</v>
      </c>
      <c r="E29" s="2">
        <f t="shared" si="0"/>
        <v>55.435375885047897</v>
      </c>
      <c r="F29" s="1">
        <f t="shared" si="7"/>
        <v>-5.9155589847436851E-2</v>
      </c>
      <c r="G29" s="22">
        <f>F29+1</f>
        <v>0.94084441015256315</v>
      </c>
      <c r="H29" s="1">
        <f>E29/E26-1</f>
        <v>-0.18342593641639471</v>
      </c>
      <c r="I29" s="1">
        <f>E29/$E$20-1</f>
        <v>-0.29693476052794032</v>
      </c>
    </row>
    <row r="30" spans="1:9">
      <c r="A30" s="70"/>
      <c r="B30">
        <v>7529.5360000000001</v>
      </c>
      <c r="C30" s="38">
        <v>395178.29</v>
      </c>
      <c r="D30" s="37">
        <v>45566</v>
      </c>
      <c r="E30" s="2">
        <f t="shared" si="0"/>
        <v>52.483750658739126</v>
      </c>
      <c r="F30" s="1">
        <f t="shared" ref="F30:F35" si="8">E30/E29-1</f>
        <v>-5.3244434247714523E-2</v>
      </c>
      <c r="G30" s="22">
        <f t="shared" ref="G30:G35" si="9">F30+1</f>
        <v>0.94675556575228548</v>
      </c>
      <c r="H30" s="1"/>
      <c r="I30" s="1"/>
    </row>
    <row r="31" spans="1:9">
      <c r="A31" s="70"/>
      <c r="B31">
        <v>7416.5929999999998</v>
      </c>
      <c r="C31" s="38">
        <v>521850.03</v>
      </c>
      <c r="D31" s="37">
        <v>45597</v>
      </c>
      <c r="E31" s="2">
        <f t="shared" si="0"/>
        <v>70.362500679220233</v>
      </c>
      <c r="F31" s="1">
        <f t="shared" si="8"/>
        <v>0.3406530553948528</v>
      </c>
      <c r="G31" s="22">
        <f t="shared" si="9"/>
        <v>1.3406530553948528</v>
      </c>
      <c r="H31" s="1"/>
      <c r="I31" s="1"/>
    </row>
    <row r="32" spans="1:9">
      <c r="A32" s="70"/>
      <c r="B32">
        <v>7327.5940000000001</v>
      </c>
      <c r="C32" s="38">
        <v>560847.63</v>
      </c>
      <c r="D32" s="76">
        <v>45627</v>
      </c>
      <c r="E32" s="2">
        <f t="shared" si="0"/>
        <v>76.539124574860452</v>
      </c>
      <c r="F32" s="1">
        <f t="shared" si="8"/>
        <v>8.7782893388044902E-2</v>
      </c>
      <c r="G32" s="22">
        <f t="shared" si="9"/>
        <v>1.0877828933880449</v>
      </c>
      <c r="H32" s="1">
        <f>E32/E29-1</f>
        <v>0.38069100015798196</v>
      </c>
      <c r="I32" s="1">
        <f>E32/$E$20-1</f>
        <v>-2.9284151337010789E-2</v>
      </c>
    </row>
    <row r="33" spans="1:19">
      <c r="A33" s="70"/>
      <c r="B33">
        <v>7254.3180000000002</v>
      </c>
      <c r="C33" s="38">
        <v>445031.56</v>
      </c>
      <c r="D33" s="37">
        <v>45658</v>
      </c>
      <c r="E33" s="2">
        <f t="shared" ref="E33:E35" si="10">C33/B33</f>
        <v>61.347125946229539</v>
      </c>
      <c r="F33" s="1">
        <f t="shared" si="8"/>
        <v>-0.19848670484559972</v>
      </c>
      <c r="G33" s="22">
        <f t="shared" si="9"/>
        <v>0.80151329515440028</v>
      </c>
      <c r="H33" s="1"/>
      <c r="I33" s="1"/>
    </row>
    <row r="34" spans="1:19">
      <c r="A34" s="70"/>
      <c r="B34">
        <v>7254.3180000000002</v>
      </c>
      <c r="C34" s="38">
        <v>400034.83</v>
      </c>
      <c r="D34" s="37">
        <v>45689</v>
      </c>
      <c r="E34" s="2">
        <f t="shared" si="10"/>
        <v>55.144374702073996</v>
      </c>
      <c r="F34" s="1">
        <f t="shared" si="8"/>
        <v>-0.10110907639898603</v>
      </c>
      <c r="G34" s="22">
        <f t="shared" si="9"/>
        <v>0.89889092360101397</v>
      </c>
      <c r="H34" s="1"/>
      <c r="I34" s="1"/>
    </row>
    <row r="35" spans="1:19">
      <c r="B35">
        <v>7254.3180000000002</v>
      </c>
      <c r="C35" s="38">
        <v>369242.07</v>
      </c>
      <c r="D35" s="76">
        <v>45717</v>
      </c>
      <c r="E35" s="2">
        <f t="shared" si="10"/>
        <v>50.899625574726663</v>
      </c>
      <c r="F35" s="1">
        <f t="shared" si="8"/>
        <v>-7.6975197384687832E-2</v>
      </c>
      <c r="G35" s="22">
        <f t="shared" si="9"/>
        <v>0.92302480261531217</v>
      </c>
      <c r="H35" s="1">
        <f>E35/E32-1</f>
        <v>-0.33498552723916541</v>
      </c>
      <c r="I35" s="1">
        <f>E35/$E$32-1</f>
        <v>-0.33498552723916541</v>
      </c>
    </row>
    <row r="36" spans="1:19" ht="16.8" thickBot="1">
      <c r="C36" s="38"/>
      <c r="D36" s="37"/>
      <c r="F36" s="27"/>
      <c r="I36" s="1"/>
    </row>
    <row r="37" spans="1:19">
      <c r="C37" s="38"/>
      <c r="E37" s="82" t="s">
        <v>4</v>
      </c>
      <c r="F37" s="83"/>
    </row>
    <row r="38" spans="1:19">
      <c r="C38" s="38"/>
      <c r="E38" s="84"/>
      <c r="F38" s="85"/>
      <c r="H38" s="1"/>
    </row>
    <row r="39" spans="1:19">
      <c r="C39" s="38"/>
      <c r="E39" s="14" t="s">
        <v>6</v>
      </c>
      <c r="F39" s="23">
        <v>44749</v>
      </c>
      <c r="H39" s="66"/>
    </row>
    <row r="40" spans="1:19">
      <c r="C40" s="38"/>
      <c r="E40" s="14" t="s">
        <v>7</v>
      </c>
      <c r="F40" s="23">
        <v>45747</v>
      </c>
      <c r="H40" s="66"/>
    </row>
    <row r="41" spans="1:19">
      <c r="C41" s="38"/>
      <c r="E41" s="61" t="s">
        <v>1</v>
      </c>
      <c r="F41" s="4">
        <f>(E35-100)/100</f>
        <v>-0.49100374425273335</v>
      </c>
      <c r="G41" s="64" t="str">
        <f ca="1">_xlfn.FORMULATEXT(F41)</f>
        <v>=(E35-100)/100</v>
      </c>
      <c r="P41" s="12"/>
      <c r="Q41" s="19"/>
      <c r="S41" s="29"/>
    </row>
    <row r="42" spans="1:19">
      <c r="E42" s="62" t="s">
        <v>2</v>
      </c>
      <c r="F42" s="4">
        <f>(E35-E32)/E32</f>
        <v>-0.33498552723916541</v>
      </c>
      <c r="G42" s="64" t="str">
        <f t="shared" ref="G42:G56" ca="1" si="11">_xlfn.FORMULATEXT(F42)</f>
        <v>=(E35-E32)/E32</v>
      </c>
      <c r="P42" s="12"/>
      <c r="Q42" s="19"/>
    </row>
    <row r="43" spans="1:19">
      <c r="E43" s="62" t="s">
        <v>36</v>
      </c>
      <c r="F43" s="4">
        <f>STDEVA(F3:F35)</f>
        <v>0.12073775011319678</v>
      </c>
      <c r="G43" s="64" t="str">
        <f t="shared" ca="1" si="11"/>
        <v>=STDEVA(F3:F35)</v>
      </c>
      <c r="J43" s="73" t="s">
        <v>9</v>
      </c>
      <c r="K43" t="s">
        <v>42</v>
      </c>
      <c r="P43" s="30" t="s">
        <v>32</v>
      </c>
      <c r="Q43" s="47">
        <f>F41</f>
        <v>-0.49100374425273335</v>
      </c>
    </row>
    <row r="44" spans="1:19">
      <c r="E44" s="62" t="s">
        <v>35</v>
      </c>
      <c r="F44" s="4">
        <f>STDEVA(F24:F35)</f>
        <v>0.14244632717471756</v>
      </c>
      <c r="G44" s="64" t="str">
        <f t="shared" ca="1" si="11"/>
        <v>=STDEVA(F24:F35)</v>
      </c>
      <c r="J44" s="73">
        <f>AVERAGE(K46:K57)</f>
        <v>4.2718666666666669</v>
      </c>
      <c r="M44" s="13"/>
      <c r="P44" s="29" t="s">
        <v>33</v>
      </c>
      <c r="Q44" s="47">
        <f>F42</f>
        <v>-0.33498552723916541</v>
      </c>
    </row>
    <row r="45" spans="1:19">
      <c r="C45" s="6"/>
      <c r="E45" s="62" t="s">
        <v>13</v>
      </c>
      <c r="F45" s="7">
        <f>F40-F39</f>
        <v>998</v>
      </c>
      <c r="G45" t="str">
        <f ca="1">_xlfn.FORMULATEXT(F45)</f>
        <v>=F40-F39</v>
      </c>
      <c r="J45" s="5" t="s">
        <v>10</v>
      </c>
      <c r="K45" s="65" t="s">
        <v>48</v>
      </c>
      <c r="L45" s="5"/>
      <c r="M45" s="13"/>
      <c r="P45" s="30" t="s">
        <v>20</v>
      </c>
      <c r="Q45" s="47">
        <f>F46</f>
        <v>-0.21774065656907748</v>
      </c>
    </row>
    <row r="46" spans="1:19">
      <c r="E46" s="62" t="s">
        <v>12</v>
      </c>
      <c r="F46" s="4">
        <f>(PRODUCT(G3:G35))^(12/COUNT(G3:G35))-1</f>
        <v>-0.21774065656907748</v>
      </c>
      <c r="G46" s="64" t="str">
        <f t="shared" ca="1" si="11"/>
        <v>=(PRODUCT(G3:G35))^(12/COUNT(G3:G35))-1</v>
      </c>
      <c r="J46" s="13">
        <v>45747</v>
      </c>
      <c r="K46" s="65">
        <v>4.2053000000000003</v>
      </c>
      <c r="L46" s="5"/>
      <c r="M46" s="13"/>
      <c r="P46" s="29" t="s">
        <v>45</v>
      </c>
      <c r="Q46" s="48">
        <f>F55</f>
        <v>0.33333333333333331</v>
      </c>
    </row>
    <row r="47" spans="1:19">
      <c r="E47" s="62" t="s">
        <v>47</v>
      </c>
      <c r="F47" s="8">
        <f>MAX(F3:F35)</f>
        <v>0.3406530553948528</v>
      </c>
      <c r="G47" s="64" t="str">
        <f t="shared" ca="1" si="11"/>
        <v>=MAX(F3:F35)</v>
      </c>
      <c r="J47" s="13">
        <v>45716</v>
      </c>
      <c r="K47" s="65">
        <v>4.2081999999999997</v>
      </c>
      <c r="M47" s="13"/>
      <c r="P47" s="30" t="s">
        <v>43</v>
      </c>
      <c r="Q47" s="48">
        <f>F56</f>
        <v>0.66666666666666663</v>
      </c>
    </row>
    <row r="48" spans="1:19">
      <c r="E48" s="62" t="s">
        <v>44</v>
      </c>
      <c r="F48" s="8">
        <f>MIN(F3:F35)</f>
        <v>-0.24835983905670578</v>
      </c>
      <c r="G48" s="64" t="str">
        <f t="shared" ca="1" si="11"/>
        <v>=MIN(F3:F35)</v>
      </c>
      <c r="J48" s="13">
        <v>45688</v>
      </c>
      <c r="K48" s="65">
        <v>4.5387000000000004</v>
      </c>
      <c r="M48" s="13"/>
      <c r="P48" s="29" t="s">
        <v>21</v>
      </c>
      <c r="Q48" s="47">
        <f>F49</f>
        <v>0.41824783517522351</v>
      </c>
    </row>
    <row r="49" spans="5:17">
      <c r="E49" s="62" t="s">
        <v>17</v>
      </c>
      <c r="F49" s="4">
        <f>F43*SQRT(12)</f>
        <v>0.41824783517522351</v>
      </c>
      <c r="G49" t="str">
        <f ca="1">_xlfn.FORMULATEXT(F49)</f>
        <v>=F43*SQRT(12)</v>
      </c>
      <c r="J49" s="13">
        <v>45657</v>
      </c>
      <c r="K49" s="65">
        <v>4.569</v>
      </c>
      <c r="M49" s="13"/>
      <c r="P49" s="30" t="s">
        <v>22</v>
      </c>
      <c r="Q49" s="49">
        <f>F52</f>
        <v>-0.62273920228810176</v>
      </c>
    </row>
    <row r="50" spans="5:17">
      <c r="E50" s="62" t="s">
        <v>18</v>
      </c>
      <c r="F50" s="4">
        <f>F44*SQRT(12)</f>
        <v>0.49344855203638011</v>
      </c>
      <c r="G50" t="str">
        <f t="shared" ca="1" si="11"/>
        <v>=F44*SQRT(12)</v>
      </c>
      <c r="J50" s="13">
        <v>45625</v>
      </c>
      <c r="K50" s="65">
        <v>4.1684999999999999</v>
      </c>
      <c r="L50" s="5"/>
      <c r="M50" s="13"/>
      <c r="P50" s="29"/>
      <c r="Q50" s="35"/>
    </row>
    <row r="51" spans="5:17">
      <c r="E51" s="71" t="s">
        <v>5</v>
      </c>
      <c r="F51" s="74">
        <f>J44/100</f>
        <v>4.2718666666666669E-2</v>
      </c>
      <c r="G51" t="str">
        <f t="shared" ca="1" si="11"/>
        <v>=J44/100</v>
      </c>
      <c r="J51" s="13">
        <v>45596</v>
      </c>
      <c r="K51" s="65">
        <v>4.2843999999999998</v>
      </c>
      <c r="L51" s="5"/>
      <c r="M51" s="13"/>
      <c r="Q51" s="46"/>
    </row>
    <row r="52" spans="5:17">
      <c r="E52" s="71" t="s">
        <v>3</v>
      </c>
      <c r="F52" s="72">
        <f>(F46-F51)/F49</f>
        <v>-0.62273920228810176</v>
      </c>
      <c r="G52" t="str">
        <f t="shared" ca="1" si="11"/>
        <v>=(F46-F51)/F49</v>
      </c>
      <c r="J52" s="13">
        <v>45565</v>
      </c>
      <c r="K52" s="65">
        <v>3.7808999999999999</v>
      </c>
      <c r="L52" s="5"/>
      <c r="M52" s="13"/>
      <c r="P52" s="12"/>
      <c r="Q52" s="19"/>
    </row>
    <row r="53" spans="5:17">
      <c r="E53" s="62" t="s">
        <v>19</v>
      </c>
      <c r="F53" s="4">
        <f>E35/E32-1</f>
        <v>-0.33498552723916541</v>
      </c>
      <c r="G53" s="64" t="str">
        <f t="shared" ca="1" si="11"/>
        <v>=E35/E32-1</v>
      </c>
      <c r="J53" s="13">
        <v>45534</v>
      </c>
      <c r="K53">
        <v>3.9034</v>
      </c>
      <c r="L53" s="5"/>
      <c r="M53" s="13"/>
    </row>
    <row r="54" spans="5:17">
      <c r="E54" s="62" t="s">
        <v>14</v>
      </c>
      <c r="F54" s="7">
        <f>COUNT(F3:F35)</f>
        <v>33</v>
      </c>
      <c r="G54" s="64" t="str">
        <f t="shared" ca="1" si="11"/>
        <v>=COUNT(F3:F35)</v>
      </c>
      <c r="J54" s="13">
        <v>45504</v>
      </c>
      <c r="K54">
        <v>4.0296000000000003</v>
      </c>
      <c r="L54" s="5"/>
      <c r="M54" s="13"/>
    </row>
    <row r="55" spans="5:17">
      <c r="E55" s="62" t="s">
        <v>15</v>
      </c>
      <c r="F55" s="51">
        <f>COUNTIF(F3:F35,"&gt;0")/F54</f>
        <v>0.33333333333333331</v>
      </c>
      <c r="G55" s="64" t="str">
        <f t="shared" ca="1" si="11"/>
        <v>=COUNTIF(F3:F35,"&gt;0")/F54</v>
      </c>
      <c r="J55" s="13">
        <v>45471</v>
      </c>
      <c r="K55">
        <v>4.3960999999999997</v>
      </c>
      <c r="L55" s="5"/>
      <c r="M55" s="13"/>
    </row>
    <row r="56" spans="5:17" ht="16.8" thickBot="1">
      <c r="E56" s="63" t="s">
        <v>16</v>
      </c>
      <c r="F56" s="53">
        <f>COUNTIF(F3:F35,"&lt;0")/F54</f>
        <v>0.66666666666666663</v>
      </c>
      <c r="G56" s="64" t="str">
        <f t="shared" ca="1" si="11"/>
        <v>=COUNTIF(F3:F35,"&lt;0")/F54</v>
      </c>
      <c r="J56" s="13">
        <v>45443</v>
      </c>
      <c r="K56">
        <v>4.4984999999999999</v>
      </c>
      <c r="L56" s="5"/>
      <c r="M56" s="13"/>
    </row>
    <row r="57" spans="5:17">
      <c r="J57" s="13">
        <v>45412</v>
      </c>
      <c r="K57">
        <v>4.6798000000000002</v>
      </c>
      <c r="L57" s="5"/>
      <c r="M57" s="13"/>
    </row>
    <row r="58" spans="5:17">
      <c r="J58" s="13">
        <v>45380</v>
      </c>
      <c r="K58">
        <v>4.2003000000000004</v>
      </c>
      <c r="L58" s="5"/>
      <c r="M58" s="13"/>
    </row>
    <row r="59" spans="5:17">
      <c r="J59" s="13">
        <v>45351</v>
      </c>
      <c r="K59">
        <v>4.2502000000000004</v>
      </c>
      <c r="L59" s="5"/>
      <c r="M59" s="13"/>
    </row>
    <row r="60" spans="5:17">
      <c r="J60" s="13">
        <v>45322</v>
      </c>
      <c r="K60">
        <v>3.9123999999999999</v>
      </c>
      <c r="L60" s="5"/>
      <c r="M60" s="13"/>
    </row>
    <row r="61" spans="5:17">
      <c r="J61" s="13">
        <v>45289</v>
      </c>
      <c r="K61">
        <v>3.8791000000000002</v>
      </c>
      <c r="L61" s="5"/>
      <c r="M61" s="13"/>
    </row>
    <row r="62" spans="5:17">
      <c r="J62" s="13">
        <v>45260</v>
      </c>
      <c r="K62">
        <v>4.3263999999999996</v>
      </c>
      <c r="M62" s="13"/>
    </row>
    <row r="63" spans="5:17">
      <c r="J63" s="13">
        <v>45230</v>
      </c>
      <c r="K63">
        <v>4.9306999999999999</v>
      </c>
      <c r="M63" s="13"/>
    </row>
    <row r="64" spans="5:17">
      <c r="J64" s="13">
        <v>45198</v>
      </c>
      <c r="K64">
        <v>4.5711000000000004</v>
      </c>
      <c r="M64" s="13"/>
    </row>
    <row r="65" spans="10:13">
      <c r="J65" s="13">
        <v>45169</v>
      </c>
      <c r="K65">
        <v>4.1081000000000003</v>
      </c>
      <c r="M65" s="13"/>
    </row>
    <row r="66" spans="10:13">
      <c r="J66" s="13">
        <v>45138</v>
      </c>
      <c r="K66">
        <v>3.9588000000000001</v>
      </c>
      <c r="M66" s="13"/>
    </row>
    <row r="67" spans="10:13">
      <c r="J67" s="13">
        <v>45107</v>
      </c>
      <c r="K67">
        <v>3.8367</v>
      </c>
      <c r="M67" s="13"/>
    </row>
    <row r="68" spans="10:13">
      <c r="J68" s="13">
        <v>45077</v>
      </c>
      <c r="K68">
        <v>3.6425999999999998</v>
      </c>
    </row>
    <row r="69" spans="10:13">
      <c r="J69" s="13">
        <v>45044</v>
      </c>
      <c r="K69">
        <v>3.4220000000000002</v>
      </c>
    </row>
    <row r="70" spans="10:13">
      <c r="J70" s="13">
        <v>45016</v>
      </c>
      <c r="K70" s="5">
        <v>3.4676</v>
      </c>
    </row>
    <row r="71" spans="10:13">
      <c r="J71" s="13">
        <v>44985</v>
      </c>
      <c r="K71" s="5">
        <v>3.92</v>
      </c>
    </row>
    <row r="72" spans="10:13">
      <c r="J72" s="13">
        <v>44957</v>
      </c>
      <c r="K72" s="5">
        <v>3.5068999999999999</v>
      </c>
    </row>
    <row r="73" spans="10:13">
      <c r="J73" s="13">
        <v>44925</v>
      </c>
      <c r="K73" s="5">
        <v>3.8748</v>
      </c>
    </row>
    <row r="74" spans="10:13">
      <c r="J74" s="13">
        <v>44895</v>
      </c>
      <c r="K74" s="5">
        <v>3.6053999999999999</v>
      </c>
    </row>
    <row r="75" spans="10:13">
      <c r="J75" s="25">
        <v>44865</v>
      </c>
      <c r="K75" s="5">
        <v>4.0477999999999996</v>
      </c>
    </row>
    <row r="76" spans="10:13">
      <c r="J76" s="13">
        <v>44834</v>
      </c>
      <c r="K76" s="5">
        <v>3.8285999999999998</v>
      </c>
    </row>
    <row r="77" spans="10:13">
      <c r="J77" s="13">
        <v>44804</v>
      </c>
      <c r="K77" s="5">
        <v>3.1926000000000001</v>
      </c>
    </row>
    <row r="78" spans="10:13">
      <c r="J78" s="13">
        <v>44772</v>
      </c>
      <c r="K78" s="5">
        <v>2.6486999999999998</v>
      </c>
    </row>
    <row r="79" spans="10:13">
      <c r="J79" s="13">
        <v>44742</v>
      </c>
      <c r="K79" s="5">
        <v>3.0129000000000001</v>
      </c>
    </row>
    <row r="80" spans="10:13">
      <c r="J80" s="13">
        <v>44711</v>
      </c>
      <c r="K80" s="5">
        <v>2.8441000000000001</v>
      </c>
    </row>
    <row r="81" spans="10:11">
      <c r="J81" s="13">
        <v>44680</v>
      </c>
      <c r="K81" s="5">
        <v>2.9336000000000002</v>
      </c>
    </row>
    <row r="82" spans="10:11">
      <c r="J82" s="13">
        <v>44651</v>
      </c>
      <c r="K82" s="5">
        <v>2.3433999999999999</v>
      </c>
    </row>
    <row r="83" spans="10:11">
      <c r="J83" s="13">
        <v>44620</v>
      </c>
      <c r="K83" s="5">
        <v>1.825</v>
      </c>
    </row>
    <row r="84" spans="10:11">
      <c r="J84" s="13">
        <v>44592</v>
      </c>
      <c r="K84" s="5">
        <v>1.7766999999999999</v>
      </c>
    </row>
    <row r="85" spans="10:11">
      <c r="J85" s="13">
        <v>44561</v>
      </c>
      <c r="K85" s="5">
        <v>1.5101</v>
      </c>
    </row>
    <row r="86" spans="10:11">
      <c r="J86" s="13">
        <v>44530</v>
      </c>
      <c r="K86" s="5">
        <v>1.4442999999999999</v>
      </c>
    </row>
    <row r="87" spans="10:11">
      <c r="J87" s="13">
        <v>44498</v>
      </c>
      <c r="K87" s="5">
        <v>1.5521</v>
      </c>
    </row>
    <row r="88" spans="10:11">
      <c r="J88" s="13" t="s">
        <v>24</v>
      </c>
      <c r="K88" s="5">
        <v>1.4873000000000001</v>
      </c>
    </row>
    <row r="89" spans="10:11">
      <c r="J89" s="13">
        <v>44439</v>
      </c>
      <c r="K89" s="5">
        <v>1.3088</v>
      </c>
    </row>
    <row r="90" spans="10:11">
      <c r="J90" s="13">
        <v>44408</v>
      </c>
      <c r="K90" s="5">
        <v>1.2222999999999999</v>
      </c>
    </row>
    <row r="91" spans="10:11">
      <c r="J91" s="13">
        <v>44377</v>
      </c>
      <c r="K91" s="5">
        <v>1.468</v>
      </c>
    </row>
    <row r="92" spans="10:11">
      <c r="J92" s="13">
        <v>44347</v>
      </c>
      <c r="K92" s="5">
        <v>1.5943000000000001</v>
      </c>
    </row>
    <row r="93" spans="10:11">
      <c r="J93" s="13">
        <v>44316</v>
      </c>
      <c r="K93" s="5">
        <v>1.6259000000000001</v>
      </c>
    </row>
    <row r="94" spans="10:11">
      <c r="J94" s="13">
        <v>44286</v>
      </c>
      <c r="K94" s="5">
        <v>1.7403999999999999</v>
      </c>
    </row>
    <row r="95" spans="10:11">
      <c r="J95" s="13">
        <v>44253</v>
      </c>
      <c r="K95" s="5">
        <v>1.4049</v>
      </c>
    </row>
    <row r="96" spans="10:11">
      <c r="J96" s="13">
        <v>44225</v>
      </c>
      <c r="K96" s="5">
        <v>1.0655000000000001</v>
      </c>
    </row>
    <row r="97" spans="10:11">
      <c r="J97" s="13">
        <v>44196</v>
      </c>
      <c r="K97" s="5">
        <v>0.91320000000000001</v>
      </c>
    </row>
    <row r="98" spans="10:11">
      <c r="J98" s="13">
        <v>44165</v>
      </c>
      <c r="K98" s="5">
        <v>0.83889999999999998</v>
      </c>
    </row>
    <row r="99" spans="10:11">
      <c r="J99" s="13">
        <v>44134</v>
      </c>
      <c r="K99" s="5">
        <v>0.87370000000000003</v>
      </c>
    </row>
    <row r="100" spans="10:11">
      <c r="J100" s="13">
        <v>44104</v>
      </c>
      <c r="K100" s="5">
        <v>0.68400000000000005</v>
      </c>
    </row>
    <row r="101" spans="10:11">
      <c r="J101" s="13">
        <v>44074</v>
      </c>
      <c r="K101" s="5">
        <v>0.70479999999999998</v>
      </c>
    </row>
    <row r="102" spans="10:11">
      <c r="J102" s="13">
        <v>44043</v>
      </c>
      <c r="K102" s="5">
        <v>0.5282</v>
      </c>
    </row>
    <row r="103" spans="10:11">
      <c r="J103" s="13">
        <v>44012</v>
      </c>
      <c r="K103" s="5">
        <v>0.65610000000000002</v>
      </c>
    </row>
  </sheetData>
  <mergeCells count="1">
    <mergeCell ref="E37:F38"/>
  </mergeCells>
  <phoneticPr fontId="30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16C13-C9AD-451D-A5F8-EF6CAF606469}">
  <dimension ref="A1:AF89"/>
  <sheetViews>
    <sheetView zoomScale="85" zoomScaleNormal="85" workbookViewId="0">
      <selection activeCell="A35" sqref="A35"/>
    </sheetView>
  </sheetViews>
  <sheetFormatPr defaultRowHeight="16.2"/>
  <cols>
    <col min="1" max="1" width="31.5546875" customWidth="1"/>
    <col min="2" max="2" width="16.21875" customWidth="1"/>
    <col min="3" max="3" width="17" customWidth="1"/>
    <col min="4" max="4" width="28" customWidth="1"/>
    <col min="5" max="5" width="21.44140625" customWidth="1"/>
    <col min="6" max="6" width="20.44140625" customWidth="1"/>
    <col min="7" max="8" width="15.77734375" customWidth="1"/>
    <col min="9" max="9" width="11.5546875" customWidth="1"/>
    <col min="15" max="15" width="27.21875" customWidth="1"/>
    <col min="16" max="16" width="10" bestFit="1" customWidth="1"/>
    <col min="18" max="18" width="27.109375" customWidth="1"/>
    <col min="19" max="19" width="9.44140625" bestFit="1" customWidth="1"/>
  </cols>
  <sheetData>
    <row r="1" spans="2:32">
      <c r="B1" t="s">
        <v>39</v>
      </c>
      <c r="D1" t="s">
        <v>0</v>
      </c>
      <c r="E1" t="s">
        <v>8</v>
      </c>
      <c r="G1" s="67" t="s">
        <v>51</v>
      </c>
      <c r="H1" s="67" t="s">
        <v>50</v>
      </c>
    </row>
    <row r="2" spans="2:32">
      <c r="C2" t="s">
        <v>25</v>
      </c>
      <c r="D2">
        <v>100</v>
      </c>
    </row>
    <row r="3" spans="2:32">
      <c r="B3" s="38">
        <v>515058.38</v>
      </c>
      <c r="C3" s="37">
        <v>44749</v>
      </c>
      <c r="D3" s="2">
        <f>B3/5000</f>
        <v>103.01167599999999</v>
      </c>
      <c r="E3" s="1">
        <f>(D3-100)/100</f>
        <v>3.0116759999999944E-2</v>
      </c>
      <c r="F3" s="22">
        <f>E3+1</f>
        <v>1.0301167599999999</v>
      </c>
    </row>
    <row r="4" spans="2:32">
      <c r="B4" s="38">
        <v>526213.68000000005</v>
      </c>
      <c r="C4" s="37">
        <v>44780</v>
      </c>
      <c r="D4" s="2">
        <f t="shared" ref="D4:D5" si="0">B4/5000</f>
        <v>105.24273600000001</v>
      </c>
      <c r="E4" s="1">
        <f>D4/D3-1</f>
        <v>2.1658321528522873E-2</v>
      </c>
      <c r="F4" s="22">
        <f>E4+1</f>
        <v>1.0216583215285229</v>
      </c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2:32">
      <c r="B5" s="38">
        <v>499085</v>
      </c>
      <c r="C5" s="54">
        <v>44811</v>
      </c>
      <c r="D5" s="56">
        <f t="shared" si="0"/>
        <v>99.816999999999993</v>
      </c>
      <c r="E5" s="1">
        <f t="shared" ref="E5:E14" si="1">D5/D4-1</f>
        <v>-5.1554493984269034E-2</v>
      </c>
      <c r="F5" s="22">
        <f>E5+1</f>
        <v>0.94844550601573097</v>
      </c>
    </row>
    <row r="6" spans="2:32">
      <c r="B6" s="38">
        <v>784518</v>
      </c>
      <c r="C6" s="37">
        <v>44835</v>
      </c>
      <c r="D6" s="2">
        <f>B6/8000</f>
        <v>98.064750000000004</v>
      </c>
      <c r="E6" s="1">
        <f t="shared" si="1"/>
        <v>-1.755462496368343E-2</v>
      </c>
      <c r="F6" s="22">
        <f t="shared" ref="F6:F13" si="2">E6+1</f>
        <v>0.98244537503631657</v>
      </c>
    </row>
    <row r="7" spans="2:32">
      <c r="B7" s="38">
        <v>788818</v>
      </c>
      <c r="C7" s="37">
        <v>44866</v>
      </c>
      <c r="D7" s="2">
        <f t="shared" ref="D7:D27" si="3">B7/8000</f>
        <v>98.602249999999998</v>
      </c>
      <c r="E7" s="1">
        <f t="shared" si="1"/>
        <v>5.4810724546792144E-3</v>
      </c>
      <c r="F7" s="22">
        <f t="shared" si="2"/>
        <v>1.0054810724546792</v>
      </c>
    </row>
    <row r="8" spans="2:32">
      <c r="B8" s="38">
        <v>764376</v>
      </c>
      <c r="C8" s="54">
        <v>44896</v>
      </c>
      <c r="D8" s="56">
        <f t="shared" si="3"/>
        <v>95.546999999999997</v>
      </c>
      <c r="E8" s="1">
        <f t="shared" si="1"/>
        <v>-3.0985601241350968E-2</v>
      </c>
      <c r="F8" s="22">
        <f t="shared" si="2"/>
        <v>0.96901439875864903</v>
      </c>
      <c r="H8" s="1">
        <f>D8/D2-1</f>
        <v>-4.453000000000007E-2</v>
      </c>
    </row>
    <row r="9" spans="2:32">
      <c r="B9" s="38">
        <v>743817</v>
      </c>
      <c r="C9" s="37">
        <v>44927</v>
      </c>
      <c r="D9" s="2">
        <f t="shared" si="3"/>
        <v>92.977125000000001</v>
      </c>
      <c r="E9" s="1">
        <f t="shared" si="1"/>
        <v>-2.6896448868096279E-2</v>
      </c>
      <c r="F9" s="22">
        <f t="shared" si="2"/>
        <v>0.97310355113190372</v>
      </c>
      <c r="H9" s="1"/>
    </row>
    <row r="10" spans="2:32">
      <c r="B10" s="38">
        <v>689680</v>
      </c>
      <c r="C10" s="37">
        <v>44958</v>
      </c>
      <c r="D10" s="2">
        <f t="shared" si="3"/>
        <v>86.21</v>
      </c>
      <c r="E10" s="1">
        <f t="shared" si="1"/>
        <v>-7.2782687139444358E-2</v>
      </c>
      <c r="F10" s="22">
        <f t="shared" si="2"/>
        <v>0.92721731286055564</v>
      </c>
      <c r="H10" s="1"/>
    </row>
    <row r="11" spans="2:32">
      <c r="B11" s="38">
        <v>671320</v>
      </c>
      <c r="C11" s="54">
        <v>44986</v>
      </c>
      <c r="D11" s="56">
        <f t="shared" si="3"/>
        <v>83.915000000000006</v>
      </c>
      <c r="E11" s="1">
        <f t="shared" si="1"/>
        <v>-2.6621041642500676E-2</v>
      </c>
      <c r="F11" s="22">
        <f t="shared" si="2"/>
        <v>0.97337895835749932</v>
      </c>
      <c r="G11" s="1">
        <f>D11/D8-1</f>
        <v>-0.12174113263629405</v>
      </c>
      <c r="H11" s="1"/>
    </row>
    <row r="12" spans="2:32">
      <c r="B12" s="38">
        <v>629655</v>
      </c>
      <c r="C12" s="58">
        <v>45017</v>
      </c>
      <c r="D12" s="60">
        <f t="shared" si="3"/>
        <v>78.706874999999997</v>
      </c>
      <c r="E12" s="1">
        <f t="shared" si="1"/>
        <v>-6.2064291247095338E-2</v>
      </c>
      <c r="F12" s="22">
        <f t="shared" si="2"/>
        <v>0.93793570875290466</v>
      </c>
      <c r="G12" s="1"/>
      <c r="H12" s="1"/>
    </row>
    <row r="13" spans="2:32">
      <c r="B13" s="38">
        <v>615713</v>
      </c>
      <c r="C13" s="37">
        <v>45047</v>
      </c>
      <c r="D13" s="60">
        <f t="shared" si="3"/>
        <v>76.964124999999996</v>
      </c>
      <c r="E13" s="1">
        <f t="shared" si="1"/>
        <v>-2.2142284266780998E-2</v>
      </c>
      <c r="F13" s="22">
        <f t="shared" si="2"/>
        <v>0.977857715733219</v>
      </c>
      <c r="G13" s="1"/>
      <c r="H13" s="1"/>
    </row>
    <row r="14" spans="2:32">
      <c r="B14" s="38">
        <v>638413</v>
      </c>
      <c r="C14" s="59">
        <v>45078</v>
      </c>
      <c r="D14" s="56">
        <f t="shared" si="3"/>
        <v>79.801625000000001</v>
      </c>
      <c r="E14" s="1">
        <f t="shared" si="1"/>
        <v>3.6867826406134174E-2</v>
      </c>
      <c r="F14" s="22">
        <f>E14+1</f>
        <v>1.0368678264061342</v>
      </c>
      <c r="G14" s="1">
        <f>D14/D11-1</f>
        <v>-4.9018351903712176E-2</v>
      </c>
      <c r="H14" s="1">
        <f>D14/D8-1</f>
        <v>-0.1647919348592839</v>
      </c>
    </row>
    <row r="15" spans="2:32">
      <c r="B15" s="38">
        <v>696245</v>
      </c>
      <c r="C15" s="58">
        <v>45108</v>
      </c>
      <c r="D15" s="60">
        <f t="shared" si="3"/>
        <v>87.030625000000001</v>
      </c>
      <c r="E15" s="1">
        <f>D15/D14-1</f>
        <v>9.0587127768388065E-2</v>
      </c>
      <c r="F15" s="22">
        <f t="shared" ref="F15:F16" si="4">E15+1</f>
        <v>1.0905871277683881</v>
      </c>
      <c r="G15" s="1"/>
      <c r="H15" s="1"/>
    </row>
    <row r="16" spans="2:32">
      <c r="B16" s="38">
        <v>645317</v>
      </c>
      <c r="C16" s="37">
        <v>45139</v>
      </c>
      <c r="D16" s="60">
        <f t="shared" si="3"/>
        <v>80.664625000000001</v>
      </c>
      <c r="E16" s="1">
        <f t="shared" ref="E16" si="5">D16/D15-1</f>
        <v>-7.3146665326142335E-2</v>
      </c>
      <c r="F16" s="22">
        <f t="shared" si="4"/>
        <v>0.92685333467385767</v>
      </c>
      <c r="G16" s="1"/>
      <c r="H16" s="1"/>
    </row>
    <row r="17" spans="1:8">
      <c r="B17" s="38">
        <v>609314</v>
      </c>
      <c r="C17" s="59">
        <v>45170</v>
      </c>
      <c r="D17" s="56">
        <f t="shared" si="3"/>
        <v>76.164249999999996</v>
      </c>
      <c r="E17" s="1">
        <f>D17/D16-1</f>
        <v>-5.5791184797549187E-2</v>
      </c>
      <c r="F17" s="22">
        <f>E17+1</f>
        <v>0.94420881520245081</v>
      </c>
      <c r="G17" s="1">
        <f>D17/D14-1</f>
        <v>-4.5580212182396052E-2</v>
      </c>
      <c r="H17" s="1">
        <f>D17/D8-1</f>
        <v>-0.20286089568484622</v>
      </c>
    </row>
    <row r="18" spans="1:8">
      <c r="B18" s="38">
        <v>585753</v>
      </c>
      <c r="C18" s="58">
        <v>45200</v>
      </c>
      <c r="D18" s="60">
        <f t="shared" si="3"/>
        <v>73.219125000000005</v>
      </c>
      <c r="E18" s="1">
        <f t="shared" ref="E18:E23" si="6">D18/D17-1</f>
        <v>-3.8668075901751697E-2</v>
      </c>
      <c r="F18" s="22">
        <f t="shared" ref="F18:F25" si="7">E18+1</f>
        <v>0.9613319240982483</v>
      </c>
      <c r="G18" s="1"/>
      <c r="H18" s="1"/>
    </row>
    <row r="19" spans="1:8">
      <c r="B19" s="38">
        <v>545974</v>
      </c>
      <c r="C19" s="37">
        <v>45231</v>
      </c>
      <c r="D19" s="60">
        <f t="shared" si="3"/>
        <v>68.246750000000006</v>
      </c>
      <c r="E19" s="1">
        <f t="shared" si="6"/>
        <v>-6.7910877110317847E-2</v>
      </c>
      <c r="F19" s="22">
        <f t="shared" si="7"/>
        <v>0.93208912288968215</v>
      </c>
      <c r="G19" s="1"/>
      <c r="H19" s="1"/>
    </row>
    <row r="20" spans="1:8">
      <c r="B20" s="38">
        <v>630785</v>
      </c>
      <c r="C20" s="59">
        <v>45261</v>
      </c>
      <c r="D20" s="56">
        <f t="shared" si="3"/>
        <v>78.848124999999996</v>
      </c>
      <c r="E20" s="1">
        <f t="shared" si="6"/>
        <v>0.15533889892192643</v>
      </c>
      <c r="F20" s="22">
        <f t="shared" si="7"/>
        <v>1.1553388989219264</v>
      </c>
      <c r="G20" s="1">
        <f>D20/D17-1</f>
        <v>3.5237988951509314E-2</v>
      </c>
      <c r="H20" s="1">
        <f>D20/D8-1</f>
        <v>-0.17477131673417268</v>
      </c>
    </row>
    <row r="21" spans="1:8">
      <c r="B21" s="38">
        <v>606777</v>
      </c>
      <c r="C21" s="58">
        <v>45292</v>
      </c>
      <c r="D21" s="60">
        <f t="shared" si="3"/>
        <v>75.847125000000005</v>
      </c>
      <c r="E21" s="1">
        <f t="shared" si="6"/>
        <v>-3.8060511901836458E-2</v>
      </c>
      <c r="F21" s="22">
        <f t="shared" si="7"/>
        <v>0.96193948809816354</v>
      </c>
      <c r="G21" s="1"/>
      <c r="H21" s="1"/>
    </row>
    <row r="22" spans="1:8">
      <c r="B22" s="38">
        <v>811963</v>
      </c>
      <c r="C22" s="37">
        <v>45323</v>
      </c>
      <c r="D22" s="60">
        <f t="shared" si="3"/>
        <v>101.495375</v>
      </c>
      <c r="E22" s="1">
        <f t="shared" si="6"/>
        <v>0.33815718130383954</v>
      </c>
      <c r="F22" s="22">
        <f t="shared" si="7"/>
        <v>1.3381571813038395</v>
      </c>
      <c r="G22" s="1"/>
      <c r="H22" s="1"/>
    </row>
    <row r="23" spans="1:8">
      <c r="B23" s="38">
        <v>610304</v>
      </c>
      <c r="C23" s="59">
        <v>45352</v>
      </c>
      <c r="D23" s="56">
        <f t="shared" si="3"/>
        <v>76.287999999999997</v>
      </c>
      <c r="E23" s="1">
        <f t="shared" si="6"/>
        <v>-0.24835983905670578</v>
      </c>
      <c r="F23" s="22">
        <f t="shared" si="7"/>
        <v>0.75164016094329422</v>
      </c>
      <c r="G23" s="1">
        <f>D23/D20-1</f>
        <v>-3.2469066322122431E-2</v>
      </c>
      <c r="H23" s="1">
        <f>D23/D20-1</f>
        <v>-3.2469066322122431E-2</v>
      </c>
    </row>
    <row r="24" spans="1:8">
      <c r="B24" s="68">
        <v>571946</v>
      </c>
      <c r="C24" s="58">
        <v>45383</v>
      </c>
      <c r="D24" s="69">
        <f t="shared" si="3"/>
        <v>71.493250000000003</v>
      </c>
      <c r="E24" s="1">
        <f>D24/D23-1</f>
        <v>-6.2850644924496546E-2</v>
      </c>
      <c r="F24" s="22">
        <f t="shared" si="7"/>
        <v>0.93714935507550345</v>
      </c>
      <c r="G24" s="1"/>
      <c r="H24" s="1"/>
    </row>
    <row r="25" spans="1:8">
      <c r="B25" s="38">
        <v>619522</v>
      </c>
      <c r="C25" s="37">
        <v>45413</v>
      </c>
      <c r="D25" s="69">
        <f>B25/8000</f>
        <v>77.440250000000006</v>
      </c>
      <c r="E25" s="1">
        <f>D25/D24-1</f>
        <v>8.3182678084994022E-2</v>
      </c>
      <c r="F25" s="22">
        <f t="shared" si="7"/>
        <v>1.083182678084994</v>
      </c>
      <c r="G25" s="1"/>
      <c r="H25" s="1"/>
    </row>
    <row r="26" spans="1:8">
      <c r="A26" s="70"/>
      <c r="B26" s="38">
        <v>543102</v>
      </c>
      <c r="C26" s="59">
        <v>45444</v>
      </c>
      <c r="D26" s="56">
        <f t="shared" si="3"/>
        <v>67.887749999999997</v>
      </c>
      <c r="E26" s="1">
        <f>D26/D25-1</f>
        <v>-0.12335316582784805</v>
      </c>
      <c r="F26" s="22">
        <f>E26+1</f>
        <v>0.87664683417215195</v>
      </c>
      <c r="G26" s="1">
        <f>D26/D23-1</f>
        <v>-0.11011233745805371</v>
      </c>
      <c r="H26" s="1">
        <f>D26/$D$20-1</f>
        <v>-0.13900615899236668</v>
      </c>
    </row>
    <row r="27" spans="1:8">
      <c r="A27" s="70"/>
      <c r="B27" s="38">
        <v>546043</v>
      </c>
      <c r="C27" s="59">
        <v>45474</v>
      </c>
      <c r="D27" s="56">
        <f t="shared" si="3"/>
        <v>68.255375000000001</v>
      </c>
      <c r="E27" s="1">
        <f>D27/D26-1</f>
        <v>5.4151890436788808E-3</v>
      </c>
      <c r="F27" s="22">
        <f>E27+1</f>
        <v>1.0054151890436789</v>
      </c>
      <c r="G27" s="1">
        <f>D27/D26-1</f>
        <v>5.4151890436788808E-3</v>
      </c>
      <c r="H27" s="1">
        <f>D27/$D$20-1</f>
        <v>-0.1343437145778672</v>
      </c>
    </row>
    <row r="28" spans="1:8">
      <c r="A28" s="70" t="s">
        <v>52</v>
      </c>
      <c r="B28" s="38">
        <f>461939.66+10920.86</f>
        <v>472860.51999999996</v>
      </c>
      <c r="C28" s="59">
        <v>45505</v>
      </c>
      <c r="D28" s="56">
        <f t="shared" ref="D28" si="8">B28/8000</f>
        <v>59.107564999999994</v>
      </c>
      <c r="E28" s="1">
        <f>D28/D27-1</f>
        <v>-0.13402329120600398</v>
      </c>
      <c r="F28" s="22">
        <f>E28+1</f>
        <v>0.86597670879399602</v>
      </c>
      <c r="G28" s="1">
        <f>D28/D27-1</f>
        <v>-0.13402329120600398</v>
      </c>
      <c r="H28" s="1">
        <f>D28/$D$20-1</f>
        <v>-0.25036181900330545</v>
      </c>
    </row>
    <row r="29" spans="1:8" ht="16.8" thickBot="1">
      <c r="C29" s="3"/>
      <c r="E29" s="27"/>
      <c r="H29" s="1"/>
    </row>
    <row r="30" spans="1:8">
      <c r="D30" s="82" t="s">
        <v>4</v>
      </c>
      <c r="E30" s="83"/>
    </row>
    <row r="31" spans="1:8">
      <c r="D31" s="84"/>
      <c r="E31" s="85"/>
      <c r="G31" s="1"/>
    </row>
    <row r="32" spans="1:8">
      <c r="D32" s="14" t="s">
        <v>6</v>
      </c>
      <c r="E32" s="23">
        <v>44749</v>
      </c>
      <c r="G32" s="66"/>
    </row>
    <row r="33" spans="2:18">
      <c r="D33" s="14" t="s">
        <v>7</v>
      </c>
      <c r="E33" s="23">
        <v>45534</v>
      </c>
      <c r="G33" s="66"/>
    </row>
    <row r="34" spans="2:18">
      <c r="D34" s="61" t="s">
        <v>1</v>
      </c>
      <c r="E34" s="4">
        <f>(D28-100)/100</f>
        <v>-0.40892435000000005</v>
      </c>
      <c r="F34" s="64" t="str">
        <f ca="1">_xlfn.FORMULATEXT(E34)</f>
        <v>=(D28-100)/100</v>
      </c>
      <c r="O34" s="12"/>
      <c r="P34" s="19"/>
      <c r="R34" s="29"/>
    </row>
    <row r="35" spans="2:18">
      <c r="D35" s="62" t="s">
        <v>2</v>
      </c>
      <c r="E35" s="4">
        <f>(D28-D20)/D20</f>
        <v>-0.25036181900330545</v>
      </c>
      <c r="F35" s="64" t="str">
        <f t="shared" ref="F35:F49" ca="1" si="9">_xlfn.FORMULATEXT(E35)</f>
        <v>=(D28-D20)/D20</v>
      </c>
      <c r="O35" s="12"/>
      <c r="P35" s="19"/>
    </row>
    <row r="36" spans="2:18">
      <c r="D36" s="62" t="s">
        <v>36</v>
      </c>
      <c r="E36" s="4">
        <f>STDEVA(E3:E28)</f>
        <v>0.10592426909432046</v>
      </c>
      <c r="F36" s="64" t="str">
        <f t="shared" ca="1" si="9"/>
        <v>=STDEVA(E3:E28)</v>
      </c>
      <c r="I36" s="73" t="s">
        <v>9</v>
      </c>
      <c r="J36" t="s">
        <v>42</v>
      </c>
      <c r="O36" s="30" t="s">
        <v>32</v>
      </c>
      <c r="P36" s="47">
        <f>E34</f>
        <v>-0.40892435000000005</v>
      </c>
    </row>
    <row r="37" spans="2:18">
      <c r="D37" s="62" t="s">
        <v>35</v>
      </c>
      <c r="E37" s="4">
        <f>STDEVA(E17:E28)</f>
        <v>0.15135654968982737</v>
      </c>
      <c r="F37" s="64" t="str">
        <f t="shared" ca="1" si="9"/>
        <v>=STDEVA(E17:E28)</v>
      </c>
      <c r="I37" s="73">
        <f>AVERAGE(J39:J50)</f>
        <v>4.2981333333333334</v>
      </c>
      <c r="O37" s="29" t="s">
        <v>33</v>
      </c>
      <c r="P37" s="47">
        <f>E35</f>
        <v>-0.25036181900330545</v>
      </c>
    </row>
    <row r="38" spans="2:18">
      <c r="B38" s="6"/>
      <c r="D38" s="62" t="s">
        <v>13</v>
      </c>
      <c r="E38" s="7">
        <f>E33-E32</f>
        <v>785</v>
      </c>
      <c r="F38" t="str">
        <f ca="1">_xlfn.FORMULATEXT(E38)</f>
        <v>=E33-E32</v>
      </c>
      <c r="I38" s="5" t="s">
        <v>10</v>
      </c>
      <c r="J38" s="65" t="s">
        <v>48</v>
      </c>
      <c r="K38" s="5"/>
      <c r="O38" s="30" t="s">
        <v>20</v>
      </c>
      <c r="P38" s="47">
        <f>E39</f>
        <v>-0.21547914468247675</v>
      </c>
    </row>
    <row r="39" spans="2:18">
      <c r="D39" s="62" t="s">
        <v>12</v>
      </c>
      <c r="E39" s="4">
        <f>(PRODUCT(F3:F28))^(12/COUNT(F3:F28))-1</f>
        <v>-0.21547914468247675</v>
      </c>
      <c r="F39" s="64" t="str">
        <f t="shared" ca="1" si="9"/>
        <v>=(PRODUCT(F3:F28))^(12/COUNT(F3:F28))-1</v>
      </c>
      <c r="I39" s="13">
        <v>45534</v>
      </c>
      <c r="J39">
        <v>3.9034</v>
      </c>
      <c r="K39" s="5"/>
      <c r="O39" s="29" t="s">
        <v>45</v>
      </c>
      <c r="P39" s="48">
        <f>E48</f>
        <v>0.34615384615384615</v>
      </c>
    </row>
    <row r="40" spans="2:18">
      <c r="D40" s="62" t="s">
        <v>47</v>
      </c>
      <c r="E40" s="8">
        <f>MAX(E3:E28)</f>
        <v>0.33815718130383954</v>
      </c>
      <c r="F40" s="64" t="str">
        <f t="shared" ca="1" si="9"/>
        <v>=MAX(E3:E28)</v>
      </c>
      <c r="I40" s="13">
        <v>45504</v>
      </c>
      <c r="J40">
        <v>4.0296000000000003</v>
      </c>
      <c r="O40" s="30" t="s">
        <v>43</v>
      </c>
      <c r="P40" s="48">
        <f>E49</f>
        <v>0.65384615384615385</v>
      </c>
    </row>
    <row r="41" spans="2:18">
      <c r="D41" s="62" t="s">
        <v>44</v>
      </c>
      <c r="E41" s="8">
        <f>MIN(E3:E28)</f>
        <v>-0.24835983905670578</v>
      </c>
      <c r="F41" s="64" t="str">
        <f t="shared" ca="1" si="9"/>
        <v>=MIN(E3:E28)</v>
      </c>
      <c r="I41" s="13">
        <v>45471</v>
      </c>
      <c r="J41">
        <v>4.3960999999999997</v>
      </c>
      <c r="O41" s="29" t="s">
        <v>21</v>
      </c>
      <c r="P41" s="47">
        <f>E42</f>
        <v>0.36693243165192163</v>
      </c>
    </row>
    <row r="42" spans="2:18">
      <c r="D42" s="62" t="s">
        <v>17</v>
      </c>
      <c r="E42" s="4">
        <f>E36*SQRT(12)</f>
        <v>0.36693243165192163</v>
      </c>
      <c r="F42" t="str">
        <f ca="1">_xlfn.FORMULATEXT(E42)</f>
        <v>=E36*SQRT(12)</v>
      </c>
      <c r="I42" s="13">
        <v>45443</v>
      </c>
      <c r="J42">
        <v>4.4984999999999999</v>
      </c>
      <c r="O42" s="30" t="s">
        <v>22</v>
      </c>
      <c r="P42" s="49">
        <f>E45</f>
        <v>-0.70438166736100905</v>
      </c>
    </row>
    <row r="43" spans="2:18">
      <c r="D43" s="62" t="s">
        <v>18</v>
      </c>
      <c r="E43" s="4">
        <f>E37*SQRT(12)</f>
        <v>0.52431446824220873</v>
      </c>
      <c r="F43" t="str">
        <f t="shared" ca="1" si="9"/>
        <v>=E37*SQRT(12)</v>
      </c>
      <c r="I43" s="13">
        <v>45412</v>
      </c>
      <c r="J43">
        <v>4.6798000000000002</v>
      </c>
      <c r="K43" s="5"/>
      <c r="O43" s="29"/>
      <c r="P43" s="35"/>
    </row>
    <row r="44" spans="2:18">
      <c r="D44" s="71" t="s">
        <v>5</v>
      </c>
      <c r="E44" s="74">
        <f>I37/100</f>
        <v>4.2981333333333337E-2</v>
      </c>
      <c r="F44" t="str">
        <f t="shared" ca="1" si="9"/>
        <v>=I37/100</v>
      </c>
      <c r="I44" s="13">
        <v>45380</v>
      </c>
      <c r="J44">
        <v>4.2003000000000004</v>
      </c>
      <c r="K44" s="5"/>
      <c r="P44" s="46"/>
    </row>
    <row r="45" spans="2:18">
      <c r="D45" s="71" t="s">
        <v>3</v>
      </c>
      <c r="E45" s="72">
        <f>(E39-E44)/E42</f>
        <v>-0.70438166736100905</v>
      </c>
      <c r="F45" t="str">
        <f t="shared" ca="1" si="9"/>
        <v>=(E39-E44)/E42</v>
      </c>
      <c r="I45" s="13">
        <v>45351</v>
      </c>
      <c r="J45">
        <v>4.2502000000000004</v>
      </c>
      <c r="K45" s="5"/>
      <c r="O45" s="12"/>
      <c r="P45" s="19"/>
    </row>
    <row r="46" spans="2:18">
      <c r="D46" s="62" t="s">
        <v>19</v>
      </c>
      <c r="E46" s="4">
        <f>D24/D22-1</f>
        <v>-0.2956009079231442</v>
      </c>
      <c r="F46" s="64" t="str">
        <f t="shared" ca="1" si="9"/>
        <v>=D24/D22-1</v>
      </c>
      <c r="I46" s="13">
        <v>45322</v>
      </c>
      <c r="J46">
        <v>3.9123999999999999</v>
      </c>
      <c r="K46" s="5"/>
    </row>
    <row r="47" spans="2:18">
      <c r="D47" s="62" t="s">
        <v>14</v>
      </c>
      <c r="E47" s="7">
        <f>COUNT(E3:E28)</f>
        <v>26</v>
      </c>
      <c r="F47" s="64" t="str">
        <f t="shared" ca="1" si="9"/>
        <v>=COUNT(E3:E28)</v>
      </c>
      <c r="I47" s="13">
        <v>45289</v>
      </c>
      <c r="J47">
        <v>3.8791000000000002</v>
      </c>
      <c r="K47" s="5"/>
    </row>
    <row r="48" spans="2:18">
      <c r="D48" s="62" t="s">
        <v>15</v>
      </c>
      <c r="E48" s="51">
        <f>COUNTIF(E3:E28,"&gt;0")/E47</f>
        <v>0.34615384615384615</v>
      </c>
      <c r="F48" s="64" t="str">
        <f t="shared" ca="1" si="9"/>
        <v>=COUNTIF(E3:E28,"&gt;0")/E47</v>
      </c>
      <c r="I48" s="13">
        <v>45260</v>
      </c>
      <c r="J48">
        <v>4.3263999999999996</v>
      </c>
      <c r="K48" s="5"/>
    </row>
    <row r="49" spans="4:11" ht="16.8" thickBot="1">
      <c r="D49" s="63" t="s">
        <v>16</v>
      </c>
      <c r="E49" s="53">
        <f>COUNTIF(E3:E28,"&lt;0")/E47</f>
        <v>0.65384615384615385</v>
      </c>
      <c r="F49" s="64" t="str">
        <f t="shared" ca="1" si="9"/>
        <v>=COUNTIF(E3:E28,"&lt;0")/E47</v>
      </c>
      <c r="I49" s="13">
        <v>45230</v>
      </c>
      <c r="J49">
        <v>4.9306999999999999</v>
      </c>
      <c r="K49" s="5"/>
    </row>
    <row r="50" spans="4:11">
      <c r="I50" s="13">
        <v>45198</v>
      </c>
      <c r="J50">
        <v>4.5711000000000004</v>
      </c>
      <c r="K50" s="5"/>
    </row>
    <row r="51" spans="4:11">
      <c r="I51" s="13">
        <v>45169</v>
      </c>
      <c r="J51">
        <v>4.1081000000000003</v>
      </c>
      <c r="K51" s="5"/>
    </row>
    <row r="52" spans="4:11">
      <c r="I52" s="13">
        <v>45138</v>
      </c>
      <c r="J52">
        <v>3.9588000000000001</v>
      </c>
      <c r="K52" s="5"/>
    </row>
    <row r="53" spans="4:11">
      <c r="I53" s="13">
        <v>45107</v>
      </c>
      <c r="J53">
        <v>3.8367</v>
      </c>
      <c r="K53" s="5"/>
    </row>
    <row r="54" spans="4:11">
      <c r="I54" s="13">
        <v>45077</v>
      </c>
      <c r="J54">
        <v>3.6425999999999998</v>
      </c>
      <c r="K54" s="5"/>
    </row>
    <row r="55" spans="4:11">
      <c r="I55" s="13">
        <v>45044</v>
      </c>
      <c r="J55">
        <v>3.4220000000000002</v>
      </c>
    </row>
    <row r="56" spans="4:11">
      <c r="I56" s="13">
        <v>45016</v>
      </c>
      <c r="J56" s="5">
        <v>3.4676</v>
      </c>
    </row>
    <row r="57" spans="4:11">
      <c r="I57" s="13">
        <v>44985</v>
      </c>
      <c r="J57" s="5">
        <v>3.92</v>
      </c>
    </row>
    <row r="58" spans="4:11">
      <c r="I58" s="13">
        <v>44957</v>
      </c>
      <c r="J58" s="5">
        <v>3.5068999999999999</v>
      </c>
    </row>
    <row r="59" spans="4:11">
      <c r="I59" s="13">
        <v>44925</v>
      </c>
      <c r="J59" s="5">
        <v>3.8748</v>
      </c>
    </row>
    <row r="60" spans="4:11">
      <c r="I60" s="13">
        <v>44895</v>
      </c>
      <c r="J60" s="5">
        <v>3.6053999999999999</v>
      </c>
    </row>
    <row r="61" spans="4:11">
      <c r="I61" s="25">
        <v>44865</v>
      </c>
      <c r="J61" s="5">
        <v>4.0477999999999996</v>
      </c>
    </row>
    <row r="62" spans="4:11">
      <c r="I62" s="13">
        <v>44834</v>
      </c>
      <c r="J62" s="5">
        <v>3.8285999999999998</v>
      </c>
    </row>
    <row r="63" spans="4:11">
      <c r="I63" s="13">
        <v>44804</v>
      </c>
      <c r="J63" s="5">
        <v>3.1926000000000001</v>
      </c>
    </row>
    <row r="64" spans="4:11">
      <c r="I64" s="13">
        <v>44772</v>
      </c>
      <c r="J64" s="5">
        <v>2.6486999999999998</v>
      </c>
    </row>
    <row r="65" spans="9:10">
      <c r="I65" s="13">
        <v>44742</v>
      </c>
      <c r="J65" s="5">
        <v>3.0129000000000001</v>
      </c>
    </row>
    <row r="66" spans="9:10">
      <c r="I66" s="13">
        <v>44711</v>
      </c>
      <c r="J66" s="5">
        <v>2.8441000000000001</v>
      </c>
    </row>
    <row r="67" spans="9:10">
      <c r="I67" s="13">
        <v>44680</v>
      </c>
      <c r="J67" s="5">
        <v>2.9336000000000002</v>
      </c>
    </row>
    <row r="68" spans="9:10">
      <c r="I68" s="13">
        <v>44651</v>
      </c>
      <c r="J68" s="5">
        <v>2.3433999999999999</v>
      </c>
    </row>
    <row r="69" spans="9:10">
      <c r="I69" s="13">
        <v>44620</v>
      </c>
      <c r="J69" s="5">
        <v>1.825</v>
      </c>
    </row>
    <row r="70" spans="9:10">
      <c r="I70" s="13">
        <v>44592</v>
      </c>
      <c r="J70" s="5">
        <v>1.7766999999999999</v>
      </c>
    </row>
    <row r="71" spans="9:10">
      <c r="I71" s="13">
        <v>44561</v>
      </c>
      <c r="J71" s="5">
        <v>1.5101</v>
      </c>
    </row>
    <row r="72" spans="9:10">
      <c r="I72" s="13">
        <v>44530</v>
      </c>
      <c r="J72" s="5">
        <v>1.4442999999999999</v>
      </c>
    </row>
    <row r="73" spans="9:10">
      <c r="I73" s="13">
        <v>44498</v>
      </c>
      <c r="J73" s="5">
        <v>1.5521</v>
      </c>
    </row>
    <row r="74" spans="9:10">
      <c r="I74" s="13" t="s">
        <v>24</v>
      </c>
      <c r="J74" s="5">
        <v>1.4873000000000001</v>
      </c>
    </row>
    <row r="75" spans="9:10">
      <c r="I75" s="13">
        <v>44439</v>
      </c>
      <c r="J75" s="5">
        <v>1.3088</v>
      </c>
    </row>
    <row r="76" spans="9:10">
      <c r="I76" s="13">
        <v>44408</v>
      </c>
      <c r="J76" s="5">
        <v>1.2222999999999999</v>
      </c>
    </row>
    <row r="77" spans="9:10">
      <c r="I77" s="13">
        <v>44377</v>
      </c>
      <c r="J77" s="5">
        <v>1.468</v>
      </c>
    </row>
    <row r="78" spans="9:10">
      <c r="I78" s="13">
        <v>44347</v>
      </c>
      <c r="J78" s="5">
        <v>1.5943000000000001</v>
      </c>
    </row>
    <row r="79" spans="9:10">
      <c r="I79" s="13">
        <v>44316</v>
      </c>
      <c r="J79" s="5">
        <v>1.6259000000000001</v>
      </c>
    </row>
    <row r="80" spans="9:10">
      <c r="I80" s="13">
        <v>44286</v>
      </c>
      <c r="J80" s="5">
        <v>1.7403999999999999</v>
      </c>
    </row>
    <row r="81" spans="9:10">
      <c r="I81" s="13">
        <v>44253</v>
      </c>
      <c r="J81" s="5">
        <v>1.4049</v>
      </c>
    </row>
    <row r="82" spans="9:10">
      <c r="I82" s="13">
        <v>44225</v>
      </c>
      <c r="J82" s="5">
        <v>1.0655000000000001</v>
      </c>
    </row>
    <row r="83" spans="9:10">
      <c r="I83" s="13">
        <v>44196</v>
      </c>
      <c r="J83" s="5">
        <v>0.91320000000000001</v>
      </c>
    </row>
    <row r="84" spans="9:10">
      <c r="I84" s="13">
        <v>44165</v>
      </c>
      <c r="J84" s="5">
        <v>0.83889999999999998</v>
      </c>
    </row>
    <row r="85" spans="9:10">
      <c r="I85" s="13">
        <v>44134</v>
      </c>
      <c r="J85" s="5">
        <v>0.87370000000000003</v>
      </c>
    </row>
    <row r="86" spans="9:10">
      <c r="I86" s="13">
        <v>44104</v>
      </c>
      <c r="J86" s="5">
        <v>0.68400000000000005</v>
      </c>
    </row>
    <row r="87" spans="9:10">
      <c r="I87" s="13">
        <v>44074</v>
      </c>
      <c r="J87" s="5">
        <v>0.70479999999999998</v>
      </c>
    </row>
    <row r="88" spans="9:10">
      <c r="I88" s="13">
        <v>44043</v>
      </c>
      <c r="J88" s="5">
        <v>0.5282</v>
      </c>
    </row>
    <row r="89" spans="9:10">
      <c r="I89" s="13">
        <v>44012</v>
      </c>
      <c r="J89" s="5">
        <v>0.65610000000000002</v>
      </c>
    </row>
  </sheetData>
  <mergeCells count="1">
    <mergeCell ref="D30:E31"/>
  </mergeCells>
  <phoneticPr fontId="7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3078B-3BAB-4C88-BDF1-9DAB14B41560}">
  <dimension ref="A1:AF87"/>
  <sheetViews>
    <sheetView topLeftCell="E13" zoomScaleNormal="100" workbookViewId="0">
      <selection activeCell="A35" sqref="A35"/>
    </sheetView>
  </sheetViews>
  <sheetFormatPr defaultRowHeight="16.2"/>
  <cols>
    <col min="1" max="1" width="31.5546875" customWidth="1"/>
    <col min="2" max="2" width="16.21875" customWidth="1"/>
    <col min="3" max="3" width="17" customWidth="1"/>
    <col min="4" max="4" width="28" customWidth="1"/>
    <col min="5" max="5" width="21.44140625" customWidth="1"/>
    <col min="6" max="6" width="20.44140625" customWidth="1"/>
    <col min="7" max="8" width="15.77734375" customWidth="1"/>
    <col min="9" max="9" width="11.5546875" customWidth="1"/>
    <col min="15" max="15" width="27.21875" customWidth="1"/>
    <col min="16" max="16" width="10" bestFit="1" customWidth="1"/>
    <col min="18" max="18" width="27.109375" customWidth="1"/>
    <col min="19" max="19" width="9.44140625" bestFit="1" customWidth="1"/>
  </cols>
  <sheetData>
    <row r="1" spans="2:32">
      <c r="B1" t="s">
        <v>39</v>
      </c>
      <c r="D1" t="s">
        <v>0</v>
      </c>
      <c r="E1" t="s">
        <v>8</v>
      </c>
      <c r="G1" s="67" t="s">
        <v>51</v>
      </c>
      <c r="H1" s="67" t="s">
        <v>50</v>
      </c>
    </row>
    <row r="2" spans="2:32">
      <c r="C2" t="s">
        <v>25</v>
      </c>
      <c r="D2">
        <v>100</v>
      </c>
    </row>
    <row r="3" spans="2:32">
      <c r="B3" s="38">
        <v>515058.38</v>
      </c>
      <c r="C3" s="37">
        <v>44749</v>
      </c>
      <c r="D3" s="2">
        <f>B3/5000</f>
        <v>103.01167599999999</v>
      </c>
      <c r="E3" s="1">
        <f>(D3-100)/100</f>
        <v>3.0116759999999944E-2</v>
      </c>
      <c r="F3" s="22">
        <f>E3+1</f>
        <v>1.0301167599999999</v>
      </c>
    </row>
    <row r="4" spans="2:32">
      <c r="B4" s="38">
        <v>526213.68000000005</v>
      </c>
      <c r="C4" s="37">
        <v>44780</v>
      </c>
      <c r="D4" s="2">
        <f t="shared" ref="D4:D5" si="0">B4/5000</f>
        <v>105.24273600000001</v>
      </c>
      <c r="E4" s="1">
        <f>D4/D3-1</f>
        <v>2.1658321528522873E-2</v>
      </c>
      <c r="F4" s="22">
        <f>E4+1</f>
        <v>1.0216583215285229</v>
      </c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2:32">
      <c r="B5" s="38">
        <v>499085</v>
      </c>
      <c r="C5" s="54">
        <v>44811</v>
      </c>
      <c r="D5" s="56">
        <f t="shared" si="0"/>
        <v>99.816999999999993</v>
      </c>
      <c r="E5" s="1">
        <f t="shared" ref="E5:E14" si="1">D5/D4-1</f>
        <v>-5.1554493984269034E-2</v>
      </c>
      <c r="F5" s="22">
        <f>E5+1</f>
        <v>0.94844550601573097</v>
      </c>
    </row>
    <row r="6" spans="2:32">
      <c r="B6" s="38">
        <v>784518</v>
      </c>
      <c r="C6" s="37">
        <v>44835</v>
      </c>
      <c r="D6" s="2">
        <f>B6/8000</f>
        <v>98.064750000000004</v>
      </c>
      <c r="E6" s="1">
        <f t="shared" si="1"/>
        <v>-1.755462496368343E-2</v>
      </c>
      <c r="F6" s="22">
        <f t="shared" ref="F6:F13" si="2">E6+1</f>
        <v>0.98244537503631657</v>
      </c>
    </row>
    <row r="7" spans="2:32">
      <c r="B7" s="38">
        <v>788818</v>
      </c>
      <c r="C7" s="37">
        <v>44866</v>
      </c>
      <c r="D7" s="2">
        <f t="shared" ref="D7:D26" si="3">B7/8000</f>
        <v>98.602249999999998</v>
      </c>
      <c r="E7" s="1">
        <f t="shared" si="1"/>
        <v>5.4810724546792144E-3</v>
      </c>
      <c r="F7" s="22">
        <f t="shared" si="2"/>
        <v>1.0054810724546792</v>
      </c>
    </row>
    <row r="8" spans="2:32">
      <c r="B8" s="38">
        <v>764376</v>
      </c>
      <c r="C8" s="54">
        <v>44896</v>
      </c>
      <c r="D8" s="56">
        <f t="shared" si="3"/>
        <v>95.546999999999997</v>
      </c>
      <c r="E8" s="1">
        <f t="shared" si="1"/>
        <v>-3.0985601241350968E-2</v>
      </c>
      <c r="F8" s="22">
        <f t="shared" si="2"/>
        <v>0.96901439875864903</v>
      </c>
      <c r="H8" s="1">
        <f>D8/D2-1</f>
        <v>-4.453000000000007E-2</v>
      </c>
    </row>
    <row r="9" spans="2:32">
      <c r="B9" s="38">
        <v>743817</v>
      </c>
      <c r="C9" s="37">
        <v>44927</v>
      </c>
      <c r="D9" s="2">
        <f t="shared" si="3"/>
        <v>92.977125000000001</v>
      </c>
      <c r="E9" s="1">
        <f t="shared" si="1"/>
        <v>-2.6896448868096279E-2</v>
      </c>
      <c r="F9" s="22">
        <f t="shared" si="2"/>
        <v>0.97310355113190372</v>
      </c>
      <c r="H9" s="1"/>
    </row>
    <row r="10" spans="2:32">
      <c r="B10" s="38">
        <v>689680</v>
      </c>
      <c r="C10" s="37">
        <v>44958</v>
      </c>
      <c r="D10" s="2">
        <f t="shared" si="3"/>
        <v>86.21</v>
      </c>
      <c r="E10" s="1">
        <f t="shared" si="1"/>
        <v>-7.2782687139444358E-2</v>
      </c>
      <c r="F10" s="22">
        <f t="shared" si="2"/>
        <v>0.92721731286055564</v>
      </c>
      <c r="H10" s="1"/>
    </row>
    <row r="11" spans="2:32">
      <c r="B11" s="38">
        <v>671320</v>
      </c>
      <c r="C11" s="54">
        <v>44986</v>
      </c>
      <c r="D11" s="56">
        <f t="shared" si="3"/>
        <v>83.915000000000006</v>
      </c>
      <c r="E11" s="1">
        <f t="shared" si="1"/>
        <v>-2.6621041642500676E-2</v>
      </c>
      <c r="F11" s="22">
        <f t="shared" si="2"/>
        <v>0.97337895835749932</v>
      </c>
      <c r="G11" s="1">
        <f>D11/D8-1</f>
        <v>-0.12174113263629405</v>
      </c>
      <c r="H11" s="1"/>
    </row>
    <row r="12" spans="2:32">
      <c r="B12" s="38">
        <v>629655</v>
      </c>
      <c r="C12" s="58">
        <v>45017</v>
      </c>
      <c r="D12" s="60">
        <f t="shared" si="3"/>
        <v>78.706874999999997</v>
      </c>
      <c r="E12" s="1">
        <f t="shared" si="1"/>
        <v>-6.2064291247095338E-2</v>
      </c>
      <c r="F12" s="22">
        <f t="shared" si="2"/>
        <v>0.93793570875290466</v>
      </c>
      <c r="G12" s="1"/>
      <c r="H12" s="1"/>
    </row>
    <row r="13" spans="2:32">
      <c r="B13" s="38">
        <v>615713</v>
      </c>
      <c r="C13" s="37">
        <v>45047</v>
      </c>
      <c r="D13" s="60">
        <f t="shared" si="3"/>
        <v>76.964124999999996</v>
      </c>
      <c r="E13" s="1">
        <f t="shared" si="1"/>
        <v>-2.2142284266780998E-2</v>
      </c>
      <c r="F13" s="22">
        <f t="shared" si="2"/>
        <v>0.977857715733219</v>
      </c>
      <c r="G13" s="1"/>
      <c r="H13" s="1"/>
    </row>
    <row r="14" spans="2:32">
      <c r="B14" s="38">
        <v>638413</v>
      </c>
      <c r="C14" s="59">
        <v>45078</v>
      </c>
      <c r="D14" s="56">
        <f t="shared" si="3"/>
        <v>79.801625000000001</v>
      </c>
      <c r="E14" s="1">
        <f t="shared" si="1"/>
        <v>3.6867826406134174E-2</v>
      </c>
      <c r="F14" s="22">
        <f>E14+1</f>
        <v>1.0368678264061342</v>
      </c>
      <c r="G14" s="1">
        <f>D14/D11-1</f>
        <v>-4.9018351903712176E-2</v>
      </c>
      <c r="H14" s="1">
        <f>D14/D8-1</f>
        <v>-0.1647919348592839</v>
      </c>
    </row>
    <row r="15" spans="2:32">
      <c r="B15" s="38">
        <v>696245</v>
      </c>
      <c r="C15" s="58">
        <v>45108</v>
      </c>
      <c r="D15" s="60">
        <f t="shared" si="3"/>
        <v>87.030625000000001</v>
      </c>
      <c r="E15" s="1">
        <f>D15/D14-1</f>
        <v>9.0587127768388065E-2</v>
      </c>
      <c r="F15" s="22">
        <f t="shared" ref="F15:F16" si="4">E15+1</f>
        <v>1.0905871277683881</v>
      </c>
      <c r="G15" s="1"/>
      <c r="H15" s="1"/>
    </row>
    <row r="16" spans="2:32">
      <c r="B16" s="38">
        <v>645317</v>
      </c>
      <c r="C16" s="37">
        <v>45139</v>
      </c>
      <c r="D16" s="60">
        <f t="shared" si="3"/>
        <v>80.664625000000001</v>
      </c>
      <c r="E16" s="1">
        <f t="shared" ref="E16" si="5">D16/D15-1</f>
        <v>-7.3146665326142335E-2</v>
      </c>
      <c r="F16" s="22">
        <f t="shared" si="4"/>
        <v>0.92685333467385767</v>
      </c>
      <c r="G16" s="1"/>
      <c r="H16" s="1"/>
    </row>
    <row r="17" spans="1:8">
      <c r="B17" s="38">
        <v>609314</v>
      </c>
      <c r="C17" s="59">
        <v>45170</v>
      </c>
      <c r="D17" s="56">
        <f t="shared" si="3"/>
        <v>76.164249999999996</v>
      </c>
      <c r="E17" s="1">
        <f>D17/D16-1</f>
        <v>-5.5791184797549187E-2</v>
      </c>
      <c r="F17" s="22">
        <f>E17+1</f>
        <v>0.94420881520245081</v>
      </c>
      <c r="G17" s="1">
        <f>D17/D14-1</f>
        <v>-4.5580212182396052E-2</v>
      </c>
      <c r="H17" s="1">
        <f>D17/D8-1</f>
        <v>-0.20286089568484622</v>
      </c>
    </row>
    <row r="18" spans="1:8">
      <c r="B18" s="38">
        <v>585753</v>
      </c>
      <c r="C18" s="58">
        <v>45200</v>
      </c>
      <c r="D18" s="60">
        <f t="shared" si="3"/>
        <v>73.219125000000005</v>
      </c>
      <c r="E18" s="1">
        <f t="shared" ref="E18:E23" si="6">D18/D17-1</f>
        <v>-3.8668075901751697E-2</v>
      </c>
      <c r="F18" s="22">
        <f t="shared" ref="F18:F25" si="7">E18+1</f>
        <v>0.9613319240982483</v>
      </c>
      <c r="G18" s="1"/>
      <c r="H18" s="1"/>
    </row>
    <row r="19" spans="1:8">
      <c r="B19" s="38">
        <v>545974</v>
      </c>
      <c r="C19" s="37">
        <v>45231</v>
      </c>
      <c r="D19" s="60">
        <f t="shared" si="3"/>
        <v>68.246750000000006</v>
      </c>
      <c r="E19" s="1">
        <f t="shared" si="6"/>
        <v>-6.7910877110317847E-2</v>
      </c>
      <c r="F19" s="22">
        <f t="shared" si="7"/>
        <v>0.93208912288968215</v>
      </c>
      <c r="G19" s="1"/>
      <c r="H19" s="1"/>
    </row>
    <row r="20" spans="1:8">
      <c r="B20" s="38">
        <v>630785</v>
      </c>
      <c r="C20" s="59">
        <v>45261</v>
      </c>
      <c r="D20" s="56">
        <f t="shared" si="3"/>
        <v>78.848124999999996</v>
      </c>
      <c r="E20" s="1">
        <f t="shared" si="6"/>
        <v>0.15533889892192643</v>
      </c>
      <c r="F20" s="22">
        <f t="shared" si="7"/>
        <v>1.1553388989219264</v>
      </c>
      <c r="G20" s="1">
        <f>D20/D17-1</f>
        <v>3.5237988951509314E-2</v>
      </c>
      <c r="H20" s="1">
        <f>D20/D8-1</f>
        <v>-0.17477131673417268</v>
      </c>
    </row>
    <row r="21" spans="1:8">
      <c r="B21" s="38">
        <v>606777</v>
      </c>
      <c r="C21" s="58">
        <v>45292</v>
      </c>
      <c r="D21" s="60">
        <f t="shared" si="3"/>
        <v>75.847125000000005</v>
      </c>
      <c r="E21" s="1">
        <f t="shared" si="6"/>
        <v>-3.8060511901836458E-2</v>
      </c>
      <c r="F21" s="22">
        <f t="shared" si="7"/>
        <v>0.96193948809816354</v>
      </c>
      <c r="G21" s="1"/>
      <c r="H21" s="1"/>
    </row>
    <row r="22" spans="1:8">
      <c r="B22" s="38">
        <v>811963</v>
      </c>
      <c r="C22" s="37">
        <v>45323</v>
      </c>
      <c r="D22" s="60">
        <f t="shared" si="3"/>
        <v>101.495375</v>
      </c>
      <c r="E22" s="1">
        <f t="shared" si="6"/>
        <v>0.33815718130383954</v>
      </c>
      <c r="F22" s="22">
        <f t="shared" si="7"/>
        <v>1.3381571813038395</v>
      </c>
      <c r="G22" s="1"/>
      <c r="H22" s="1"/>
    </row>
    <row r="23" spans="1:8">
      <c r="B23" s="38">
        <v>610304</v>
      </c>
      <c r="C23" s="59">
        <v>45352</v>
      </c>
      <c r="D23" s="56">
        <f t="shared" si="3"/>
        <v>76.287999999999997</v>
      </c>
      <c r="E23" s="1">
        <f t="shared" si="6"/>
        <v>-0.24835983905670578</v>
      </c>
      <c r="F23" s="22">
        <f t="shared" si="7"/>
        <v>0.75164016094329422</v>
      </c>
      <c r="G23" s="1">
        <f>D23/D20-1</f>
        <v>-3.2469066322122431E-2</v>
      </c>
      <c r="H23" s="1">
        <f>D23/D20-1</f>
        <v>-3.2469066322122431E-2</v>
      </c>
    </row>
    <row r="24" spans="1:8">
      <c r="B24" s="68">
        <v>571946</v>
      </c>
      <c r="C24" s="58">
        <v>45383</v>
      </c>
      <c r="D24" s="69">
        <f t="shared" si="3"/>
        <v>71.493250000000003</v>
      </c>
      <c r="E24" s="1">
        <f>D24/D23-1</f>
        <v>-6.2850644924496546E-2</v>
      </c>
      <c r="F24" s="22">
        <f t="shared" si="7"/>
        <v>0.93714935507550345</v>
      </c>
      <c r="G24" s="1"/>
      <c r="H24" s="1"/>
    </row>
    <row r="25" spans="1:8">
      <c r="B25" s="38">
        <v>619522</v>
      </c>
      <c r="C25" s="37">
        <v>45413</v>
      </c>
      <c r="D25" s="69">
        <f>B25/8000</f>
        <v>77.440250000000006</v>
      </c>
      <c r="E25" s="1">
        <f>D25/D24-1</f>
        <v>8.3182678084994022E-2</v>
      </c>
      <c r="F25" s="22">
        <f t="shared" si="7"/>
        <v>1.083182678084994</v>
      </c>
      <c r="G25" s="1"/>
      <c r="H25" s="1"/>
    </row>
    <row r="26" spans="1:8">
      <c r="A26" s="70"/>
      <c r="B26" s="38">
        <v>543102</v>
      </c>
      <c r="C26" s="59">
        <v>45444</v>
      </c>
      <c r="D26" s="56">
        <f t="shared" si="3"/>
        <v>67.887749999999997</v>
      </c>
      <c r="E26" s="1">
        <f>D26/D25-1</f>
        <v>-0.12335316582784805</v>
      </c>
      <c r="F26" s="22">
        <f>E26+1</f>
        <v>0.87664683417215195</v>
      </c>
      <c r="G26" s="1">
        <f>D26/D23-1</f>
        <v>-0.11011233745805371</v>
      </c>
      <c r="H26" s="1">
        <f>D26/$D$20-1</f>
        <v>-0.13900615899236668</v>
      </c>
    </row>
    <row r="27" spans="1:8">
      <c r="A27" s="70"/>
      <c r="B27" s="38">
        <v>546043</v>
      </c>
      <c r="C27" s="59">
        <v>45474</v>
      </c>
      <c r="D27" s="56">
        <f t="shared" ref="D27" si="8">B27/8000</f>
        <v>68.255375000000001</v>
      </c>
      <c r="E27" s="1">
        <f>D27/D26-1</f>
        <v>5.4151890436788808E-3</v>
      </c>
      <c r="F27" s="22">
        <f>E27+1</f>
        <v>1.0054151890436789</v>
      </c>
      <c r="G27" s="1">
        <f>D27/D26-1</f>
        <v>5.4151890436788808E-3</v>
      </c>
      <c r="H27" s="1">
        <f>D27/$D$20-1</f>
        <v>-0.1343437145778672</v>
      </c>
    </row>
    <row r="28" spans="1:8" ht="16.8" thickBot="1">
      <c r="C28" s="3"/>
      <c r="E28" s="27"/>
      <c r="H28" s="1"/>
    </row>
    <row r="29" spans="1:8">
      <c r="D29" s="82" t="s">
        <v>4</v>
      </c>
      <c r="E29" s="83"/>
    </row>
    <row r="30" spans="1:8">
      <c r="D30" s="84"/>
      <c r="E30" s="85"/>
      <c r="G30" s="1"/>
    </row>
    <row r="31" spans="1:8">
      <c r="D31" s="14" t="s">
        <v>6</v>
      </c>
      <c r="E31" s="23">
        <v>44749</v>
      </c>
      <c r="G31" s="66"/>
    </row>
    <row r="32" spans="1:8">
      <c r="D32" s="14" t="s">
        <v>7</v>
      </c>
      <c r="E32" s="23">
        <v>45504</v>
      </c>
      <c r="G32" s="66"/>
    </row>
    <row r="33" spans="2:18">
      <c r="D33" s="61" t="s">
        <v>1</v>
      </c>
      <c r="E33" s="4">
        <f>(D27-100)/100</f>
        <v>-0.31744624999999999</v>
      </c>
      <c r="F33" s="64" t="str">
        <f ca="1">_xlfn.FORMULATEXT(E33)</f>
        <v>=(D27-100)/100</v>
      </c>
      <c r="O33" s="12"/>
      <c r="P33" s="19"/>
      <c r="R33" s="29"/>
    </row>
    <row r="34" spans="2:18">
      <c r="D34" s="62" t="s">
        <v>2</v>
      </c>
      <c r="E34" s="4">
        <f>(D27-D20)/D20</f>
        <v>-0.1343437145778672</v>
      </c>
      <c r="F34" s="64" t="str">
        <f t="shared" ref="F34:F48" ca="1" si="9">_xlfn.FORMULATEXT(E34)</f>
        <v>=(D27-D20)/D20</v>
      </c>
      <c r="O34" s="12"/>
      <c r="P34" s="19"/>
    </row>
    <row r="35" spans="2:18">
      <c r="D35" s="62" t="s">
        <v>36</v>
      </c>
      <c r="E35" s="4">
        <f>STDEVA(E3:E27)</f>
        <v>0.10522338875041226</v>
      </c>
      <c r="F35" s="64" t="str">
        <f t="shared" ca="1" si="9"/>
        <v>=STDEVA(E3:E27)</v>
      </c>
      <c r="I35" s="73" t="s">
        <v>9</v>
      </c>
      <c r="J35" t="s">
        <v>42</v>
      </c>
      <c r="O35" s="30" t="s">
        <v>32</v>
      </c>
      <c r="P35" s="47">
        <f>E33</f>
        <v>-0.31744624999999999</v>
      </c>
    </row>
    <row r="36" spans="2:18">
      <c r="D36" s="62" t="s">
        <v>35</v>
      </c>
      <c r="E36" s="4">
        <f>STDEVA(E16:E27)</f>
        <v>0.14800883420280686</v>
      </c>
      <c r="F36" s="64" t="str">
        <f t="shared" ca="1" si="9"/>
        <v>=STDEVA(E16:E27)</v>
      </c>
      <c r="I36" s="73">
        <f>AVERAGE(J38:J49)</f>
        <v>4.3151916666666663</v>
      </c>
      <c r="O36" s="29" t="s">
        <v>33</v>
      </c>
      <c r="P36" s="47">
        <f>E34</f>
        <v>-0.1343437145778672</v>
      </c>
    </row>
    <row r="37" spans="2:18">
      <c r="B37" s="6"/>
      <c r="D37" s="62" t="s">
        <v>13</v>
      </c>
      <c r="E37" s="7">
        <f>E32-E31</f>
        <v>755</v>
      </c>
      <c r="F37" t="str">
        <f ca="1">_xlfn.FORMULATEXT(E37)</f>
        <v>=E32-E31</v>
      </c>
      <c r="I37" s="5" t="s">
        <v>10</v>
      </c>
      <c r="J37" s="65" t="s">
        <v>48</v>
      </c>
      <c r="K37" s="5"/>
      <c r="O37" s="30" t="s">
        <v>20</v>
      </c>
      <c r="P37" s="47">
        <f>E38</f>
        <v>-0.16749722201461004</v>
      </c>
    </row>
    <row r="38" spans="2:18">
      <c r="D38" s="62" t="s">
        <v>12</v>
      </c>
      <c r="E38" s="4">
        <f>(PRODUCT(F3:F27))^(12/COUNT(F3:F27))-1</f>
        <v>-0.16749722201461004</v>
      </c>
      <c r="F38" s="64" t="str">
        <f t="shared" ca="1" si="9"/>
        <v>=(PRODUCT(F3:F27))^(12/COUNT(F3:F27))-1</v>
      </c>
      <c r="I38" s="13">
        <v>45504</v>
      </c>
      <c r="J38">
        <v>4.0296000000000003</v>
      </c>
      <c r="K38" s="5"/>
      <c r="O38" s="29" t="s">
        <v>45</v>
      </c>
      <c r="P38" s="48">
        <f>E47</f>
        <v>0.36</v>
      </c>
    </row>
    <row r="39" spans="2:18">
      <c r="D39" s="62" t="s">
        <v>47</v>
      </c>
      <c r="E39" s="8">
        <f>MAX(E3:E27)</f>
        <v>0.33815718130383954</v>
      </c>
      <c r="F39" s="64" t="str">
        <f t="shared" ca="1" si="9"/>
        <v>=MAX(E3:E27)</v>
      </c>
      <c r="I39" s="13">
        <v>45471</v>
      </c>
      <c r="J39">
        <v>4.3960999999999997</v>
      </c>
      <c r="O39" s="30" t="s">
        <v>43</v>
      </c>
      <c r="P39" s="48">
        <f>E48</f>
        <v>0.64</v>
      </c>
    </row>
    <row r="40" spans="2:18">
      <c r="D40" s="62" t="s">
        <v>44</v>
      </c>
      <c r="E40" s="8">
        <f>MIN(E3:E27)</f>
        <v>-0.24835983905670578</v>
      </c>
      <c r="F40" s="64" t="str">
        <f t="shared" ca="1" si="9"/>
        <v>=MIN(E3:E27)</v>
      </c>
      <c r="I40" s="13">
        <v>45443</v>
      </c>
      <c r="J40">
        <v>4.4984999999999999</v>
      </c>
      <c r="O40" s="29" t="s">
        <v>21</v>
      </c>
      <c r="P40" s="47">
        <f>E41</f>
        <v>0.36450451092057096</v>
      </c>
    </row>
    <row r="41" spans="2:18">
      <c r="D41" s="62" t="s">
        <v>17</v>
      </c>
      <c r="E41" s="4">
        <f>E35*SQRT(12)</f>
        <v>0.36450451092057096</v>
      </c>
      <c r="F41" t="str">
        <f ca="1">_xlfn.FORMULATEXT(E41)</f>
        <v>=E35*SQRT(12)</v>
      </c>
      <c r="I41" s="13">
        <v>45412</v>
      </c>
      <c r="J41">
        <v>4.6798000000000002</v>
      </c>
      <c r="O41" s="30" t="s">
        <v>22</v>
      </c>
      <c r="P41" s="49">
        <f>E44</f>
        <v>-0.57790543702538488</v>
      </c>
    </row>
    <row r="42" spans="2:18">
      <c r="D42" s="62" t="s">
        <v>18</v>
      </c>
      <c r="E42" s="4">
        <f>E36*SQRT(12)</f>
        <v>0.51271764161659938</v>
      </c>
      <c r="F42" t="str">
        <f t="shared" ca="1" si="9"/>
        <v>=E36*SQRT(12)</v>
      </c>
      <c r="I42" s="13">
        <v>45380</v>
      </c>
      <c r="J42">
        <v>4.2003000000000004</v>
      </c>
      <c r="K42" s="5"/>
      <c r="O42" s="29"/>
      <c r="P42" s="35"/>
    </row>
    <row r="43" spans="2:18">
      <c r="D43" s="71" t="s">
        <v>5</v>
      </c>
      <c r="E43" s="74">
        <f>I36/100</f>
        <v>4.3151916666666665E-2</v>
      </c>
      <c r="F43" t="str">
        <f t="shared" ca="1" si="9"/>
        <v>=I36/100</v>
      </c>
      <c r="I43" s="13">
        <v>45351</v>
      </c>
      <c r="J43">
        <v>4.2502000000000004</v>
      </c>
      <c r="K43" s="5"/>
      <c r="P43" s="46"/>
    </row>
    <row r="44" spans="2:18">
      <c r="D44" s="71" t="s">
        <v>3</v>
      </c>
      <c r="E44" s="72">
        <f>(E38-E43)/E41</f>
        <v>-0.57790543702538488</v>
      </c>
      <c r="F44" t="str">
        <f t="shared" ca="1" si="9"/>
        <v>=(E38-E43)/E41</v>
      </c>
      <c r="I44" s="13">
        <v>45322</v>
      </c>
      <c r="J44">
        <v>3.9123999999999999</v>
      </c>
      <c r="K44" s="5"/>
      <c r="O44" s="12"/>
      <c r="P44" s="19"/>
    </row>
    <row r="45" spans="2:18">
      <c r="D45" s="62" t="s">
        <v>19</v>
      </c>
      <c r="E45" s="4">
        <f>D24/D22-1</f>
        <v>-0.2956009079231442</v>
      </c>
      <c r="F45" s="64" t="str">
        <f t="shared" ca="1" si="9"/>
        <v>=D24/D22-1</v>
      </c>
      <c r="I45" s="13">
        <v>45289</v>
      </c>
      <c r="J45">
        <v>3.8791000000000002</v>
      </c>
      <c r="K45" s="5"/>
    </row>
    <row r="46" spans="2:18">
      <c r="D46" s="62" t="s">
        <v>14</v>
      </c>
      <c r="E46" s="7">
        <f>COUNT(E3:E27)</f>
        <v>25</v>
      </c>
      <c r="F46" s="64" t="str">
        <f t="shared" ca="1" si="9"/>
        <v>=COUNT(E3:E27)</v>
      </c>
      <c r="I46" s="13">
        <v>45260</v>
      </c>
      <c r="J46">
        <v>4.3263999999999996</v>
      </c>
      <c r="K46" s="5"/>
    </row>
    <row r="47" spans="2:18">
      <c r="D47" s="62" t="s">
        <v>15</v>
      </c>
      <c r="E47" s="51">
        <f>COUNTIF(E3:E27,"&gt;0")/E46</f>
        <v>0.36</v>
      </c>
      <c r="F47" s="64" t="str">
        <f t="shared" ca="1" si="9"/>
        <v>=COUNTIF(E3:E27,"&gt;0")/E46</v>
      </c>
      <c r="I47" s="13">
        <v>45230</v>
      </c>
      <c r="J47">
        <v>4.9306999999999999</v>
      </c>
      <c r="K47" s="5"/>
    </row>
    <row r="48" spans="2:18" ht="16.8" thickBot="1">
      <c r="D48" s="63" t="s">
        <v>16</v>
      </c>
      <c r="E48" s="53">
        <f>COUNTIF(E3:E27,"&lt;0")/E46</f>
        <v>0.64</v>
      </c>
      <c r="F48" s="64" t="str">
        <f t="shared" ca="1" si="9"/>
        <v>=COUNTIF(E3:E27,"&lt;0")/E46</v>
      </c>
      <c r="I48" s="13">
        <v>45198</v>
      </c>
      <c r="J48">
        <v>4.5711000000000004</v>
      </c>
      <c r="K48" s="5"/>
    </row>
    <row r="49" spans="9:11">
      <c r="I49" s="13">
        <v>45169</v>
      </c>
      <c r="J49">
        <v>4.1081000000000003</v>
      </c>
      <c r="K49" s="5"/>
    </row>
    <row r="50" spans="9:11">
      <c r="I50" s="13">
        <v>45138</v>
      </c>
      <c r="J50">
        <v>3.9588000000000001</v>
      </c>
      <c r="K50" s="5"/>
    </row>
    <row r="51" spans="9:11">
      <c r="I51" s="13">
        <v>45107</v>
      </c>
      <c r="J51">
        <v>3.8367</v>
      </c>
      <c r="K51" s="5"/>
    </row>
    <row r="52" spans="9:11">
      <c r="I52" s="13">
        <v>45077</v>
      </c>
      <c r="J52">
        <v>3.6425999999999998</v>
      </c>
      <c r="K52" s="5"/>
    </row>
    <row r="53" spans="9:11">
      <c r="I53" s="13">
        <v>45044</v>
      </c>
      <c r="J53">
        <v>3.4220000000000002</v>
      </c>
      <c r="K53" s="5"/>
    </row>
    <row r="54" spans="9:11">
      <c r="I54" s="13">
        <v>45016</v>
      </c>
      <c r="J54" s="5">
        <v>3.4676</v>
      </c>
    </row>
    <row r="55" spans="9:11">
      <c r="I55" s="13">
        <v>44985</v>
      </c>
      <c r="J55" s="5">
        <v>3.92</v>
      </c>
    </row>
    <row r="56" spans="9:11">
      <c r="I56" s="13">
        <v>44957</v>
      </c>
      <c r="J56" s="5">
        <v>3.5068999999999999</v>
      </c>
    </row>
    <row r="57" spans="9:11">
      <c r="I57" s="13">
        <v>44925</v>
      </c>
      <c r="J57" s="5">
        <v>3.8748</v>
      </c>
    </row>
    <row r="58" spans="9:11">
      <c r="I58" s="13">
        <v>44895</v>
      </c>
      <c r="J58" s="5">
        <v>3.6053999999999999</v>
      </c>
    </row>
    <row r="59" spans="9:11">
      <c r="I59" s="25">
        <v>44865</v>
      </c>
      <c r="J59" s="5">
        <v>4.0477999999999996</v>
      </c>
    </row>
    <row r="60" spans="9:11">
      <c r="I60" s="13">
        <v>44834</v>
      </c>
      <c r="J60" s="5">
        <v>3.8285999999999998</v>
      </c>
    </row>
    <row r="61" spans="9:11">
      <c r="I61" s="13">
        <v>44804</v>
      </c>
      <c r="J61" s="5">
        <v>3.1926000000000001</v>
      </c>
    </row>
    <row r="62" spans="9:11">
      <c r="I62" s="13">
        <v>44772</v>
      </c>
      <c r="J62" s="5">
        <v>2.6486999999999998</v>
      </c>
    </row>
    <row r="63" spans="9:11">
      <c r="I63" s="13">
        <v>44742</v>
      </c>
      <c r="J63" s="5">
        <v>3.0129000000000001</v>
      </c>
    </row>
    <row r="64" spans="9:11">
      <c r="I64" s="13">
        <v>44711</v>
      </c>
      <c r="J64" s="5">
        <v>2.8441000000000001</v>
      </c>
    </row>
    <row r="65" spans="9:10">
      <c r="I65" s="13">
        <v>44680</v>
      </c>
      <c r="J65" s="5">
        <v>2.9336000000000002</v>
      </c>
    </row>
    <row r="66" spans="9:10">
      <c r="I66" s="13">
        <v>44651</v>
      </c>
      <c r="J66" s="5">
        <v>2.3433999999999999</v>
      </c>
    </row>
    <row r="67" spans="9:10">
      <c r="I67" s="13">
        <v>44620</v>
      </c>
      <c r="J67" s="5">
        <v>1.825</v>
      </c>
    </row>
    <row r="68" spans="9:10">
      <c r="I68" s="13">
        <v>44592</v>
      </c>
      <c r="J68" s="5">
        <v>1.7766999999999999</v>
      </c>
    </row>
    <row r="69" spans="9:10">
      <c r="I69" s="13">
        <v>44561</v>
      </c>
      <c r="J69" s="5">
        <v>1.5101</v>
      </c>
    </row>
    <row r="70" spans="9:10">
      <c r="I70" s="13">
        <v>44530</v>
      </c>
      <c r="J70" s="5">
        <v>1.4442999999999999</v>
      </c>
    </row>
    <row r="71" spans="9:10">
      <c r="I71" s="13">
        <v>44498</v>
      </c>
      <c r="J71" s="5">
        <v>1.5521</v>
      </c>
    </row>
    <row r="72" spans="9:10">
      <c r="I72" s="13" t="s">
        <v>24</v>
      </c>
      <c r="J72" s="5">
        <v>1.4873000000000001</v>
      </c>
    </row>
    <row r="73" spans="9:10">
      <c r="I73" s="13">
        <v>44439</v>
      </c>
      <c r="J73" s="5">
        <v>1.3088</v>
      </c>
    </row>
    <row r="74" spans="9:10">
      <c r="I74" s="13">
        <v>44408</v>
      </c>
      <c r="J74" s="5">
        <v>1.2222999999999999</v>
      </c>
    </row>
    <row r="75" spans="9:10">
      <c r="I75" s="13">
        <v>44377</v>
      </c>
      <c r="J75" s="5">
        <v>1.468</v>
      </c>
    </row>
    <row r="76" spans="9:10">
      <c r="I76" s="13">
        <v>44347</v>
      </c>
      <c r="J76" s="5">
        <v>1.5943000000000001</v>
      </c>
    </row>
    <row r="77" spans="9:10">
      <c r="I77" s="13">
        <v>44316</v>
      </c>
      <c r="J77" s="5">
        <v>1.6259000000000001</v>
      </c>
    </row>
    <row r="78" spans="9:10">
      <c r="I78" s="13">
        <v>44286</v>
      </c>
      <c r="J78" s="5">
        <v>1.7403999999999999</v>
      </c>
    </row>
    <row r="79" spans="9:10">
      <c r="I79" s="13">
        <v>44253</v>
      </c>
      <c r="J79" s="5">
        <v>1.4049</v>
      </c>
    </row>
    <row r="80" spans="9:10">
      <c r="I80" s="13">
        <v>44225</v>
      </c>
      <c r="J80" s="5">
        <v>1.0655000000000001</v>
      </c>
    </row>
    <row r="81" spans="9:10">
      <c r="I81" s="13">
        <v>44196</v>
      </c>
      <c r="J81" s="5">
        <v>0.91320000000000001</v>
      </c>
    </row>
    <row r="82" spans="9:10">
      <c r="I82" s="13">
        <v>44165</v>
      </c>
      <c r="J82" s="5">
        <v>0.83889999999999998</v>
      </c>
    </row>
    <row r="83" spans="9:10">
      <c r="I83" s="13">
        <v>44134</v>
      </c>
      <c r="J83" s="5">
        <v>0.87370000000000003</v>
      </c>
    </row>
    <row r="84" spans="9:10">
      <c r="I84" s="13">
        <v>44104</v>
      </c>
      <c r="J84" s="5">
        <v>0.68400000000000005</v>
      </c>
    </row>
    <row r="85" spans="9:10">
      <c r="I85" s="13">
        <v>44074</v>
      </c>
      <c r="J85" s="5">
        <v>0.70479999999999998</v>
      </c>
    </row>
    <row r="86" spans="9:10">
      <c r="I86" s="13">
        <v>44043</v>
      </c>
      <c r="J86" s="5">
        <v>0.5282</v>
      </c>
    </row>
    <row r="87" spans="9:10">
      <c r="I87" s="13">
        <v>44012</v>
      </c>
      <c r="J87" s="5">
        <v>0.65610000000000002</v>
      </c>
    </row>
  </sheetData>
  <mergeCells count="1">
    <mergeCell ref="D29:E30"/>
  </mergeCells>
  <phoneticPr fontId="30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BAF26-311D-44D2-BA79-CD18BFB7828C}">
  <dimension ref="A1:AG100"/>
  <sheetViews>
    <sheetView topLeftCell="A6" zoomScale="70" zoomScaleNormal="70" workbookViewId="0">
      <selection activeCell="F57" sqref="F57"/>
    </sheetView>
  </sheetViews>
  <sheetFormatPr defaultRowHeight="16.2"/>
  <cols>
    <col min="1" max="1" width="31.5546875" customWidth="1"/>
    <col min="2" max="2" width="17.33203125" bestFit="1" customWidth="1"/>
    <col min="3" max="3" width="16.21875" customWidth="1"/>
    <col min="4" max="4" width="17" customWidth="1"/>
    <col min="5" max="5" width="28" customWidth="1"/>
    <col min="6" max="6" width="21.44140625" customWidth="1"/>
    <col min="7" max="7" width="20.44140625" customWidth="1"/>
    <col min="8" max="9" width="15.77734375" customWidth="1"/>
    <col min="10" max="10" width="11.5546875" customWidth="1"/>
    <col min="13" max="13" width="10.6640625" bestFit="1" customWidth="1"/>
    <col min="16" max="16" width="27.21875" customWidth="1"/>
    <col min="17" max="17" width="10" bestFit="1" customWidth="1"/>
    <col min="19" max="19" width="27.109375" customWidth="1"/>
    <col min="20" max="20" width="9.44140625" bestFit="1" customWidth="1"/>
  </cols>
  <sheetData>
    <row r="1" spans="2:33">
      <c r="B1" t="s">
        <v>55</v>
      </c>
      <c r="C1" s="75" t="s">
        <v>53</v>
      </c>
      <c r="E1" t="s">
        <v>0</v>
      </c>
      <c r="F1" t="s">
        <v>8</v>
      </c>
      <c r="H1" s="67" t="s">
        <v>56</v>
      </c>
      <c r="I1" s="67" t="s">
        <v>50</v>
      </c>
    </row>
    <row r="2" spans="2:33">
      <c r="D2" t="s">
        <v>25</v>
      </c>
      <c r="E2">
        <v>100</v>
      </c>
    </row>
    <row r="3" spans="2:33">
      <c r="B3">
        <v>5000</v>
      </c>
      <c r="C3" s="38">
        <v>515058.38</v>
      </c>
      <c r="D3" s="37">
        <v>44749</v>
      </c>
      <c r="E3" s="2">
        <f>C3/B3</f>
        <v>103.01167599999999</v>
      </c>
      <c r="F3" s="1">
        <f>(E3-100)/100</f>
        <v>3.0116759999999944E-2</v>
      </c>
      <c r="G3" s="22">
        <f>F3+1</f>
        <v>1.0301167599999999</v>
      </c>
    </row>
    <row r="4" spans="2:33">
      <c r="B4">
        <v>5000</v>
      </c>
      <c r="C4" s="38">
        <v>526213.68000000005</v>
      </c>
      <c r="D4" s="37">
        <v>44780</v>
      </c>
      <c r="E4" s="2">
        <f t="shared" ref="E4:E32" si="0">C4/B4</f>
        <v>105.24273600000001</v>
      </c>
      <c r="F4" s="1">
        <f>E4/E3-1</f>
        <v>2.1658321528522873E-2</v>
      </c>
      <c r="G4" s="22">
        <f>F4+1</f>
        <v>1.0216583215285229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2:33">
      <c r="B5">
        <v>5000</v>
      </c>
      <c r="C5" s="38">
        <v>499085</v>
      </c>
      <c r="D5" s="54">
        <v>44811</v>
      </c>
      <c r="E5" s="2">
        <f t="shared" si="0"/>
        <v>99.816999999999993</v>
      </c>
      <c r="F5" s="1">
        <f t="shared" ref="F5:F14" si="1">E5/E4-1</f>
        <v>-5.1554493984269034E-2</v>
      </c>
      <c r="G5" s="22">
        <f>F5+1</f>
        <v>0.94844550601573097</v>
      </c>
    </row>
    <row r="6" spans="2:33">
      <c r="B6">
        <v>8000</v>
      </c>
      <c r="C6" s="38">
        <v>784518</v>
      </c>
      <c r="D6" s="37">
        <v>44835</v>
      </c>
      <c r="E6" s="2">
        <f t="shared" si="0"/>
        <v>98.064750000000004</v>
      </c>
      <c r="F6" s="1">
        <f t="shared" si="1"/>
        <v>-1.755462496368343E-2</v>
      </c>
      <c r="G6" s="22">
        <f t="shared" ref="G6:G13" si="2">F6+1</f>
        <v>0.98244537503631657</v>
      </c>
    </row>
    <row r="7" spans="2:33">
      <c r="B7">
        <v>8000</v>
      </c>
      <c r="C7" s="38">
        <v>788818</v>
      </c>
      <c r="D7" s="37">
        <v>44866</v>
      </c>
      <c r="E7" s="2">
        <f t="shared" si="0"/>
        <v>98.602249999999998</v>
      </c>
      <c r="F7" s="1">
        <f t="shared" si="1"/>
        <v>5.4810724546792144E-3</v>
      </c>
      <c r="G7" s="22">
        <f t="shared" si="2"/>
        <v>1.0054810724546792</v>
      </c>
    </row>
    <row r="8" spans="2:33">
      <c r="B8">
        <v>8000</v>
      </c>
      <c r="C8" s="38">
        <v>764376</v>
      </c>
      <c r="D8" s="54">
        <v>44896</v>
      </c>
      <c r="E8" s="2">
        <f t="shared" si="0"/>
        <v>95.546999999999997</v>
      </c>
      <c r="F8" s="1">
        <f t="shared" si="1"/>
        <v>-3.0985601241350968E-2</v>
      </c>
      <c r="G8" s="22">
        <f t="shared" si="2"/>
        <v>0.96901439875864903</v>
      </c>
      <c r="I8" s="1">
        <f>E8/E2-1</f>
        <v>-4.453000000000007E-2</v>
      </c>
    </row>
    <row r="9" spans="2:33">
      <c r="B9">
        <v>8000</v>
      </c>
      <c r="C9" s="38">
        <v>743817</v>
      </c>
      <c r="D9" s="37">
        <v>44927</v>
      </c>
      <c r="E9" s="2">
        <f t="shared" si="0"/>
        <v>92.977125000000001</v>
      </c>
      <c r="F9" s="1">
        <f t="shared" si="1"/>
        <v>-2.6896448868096279E-2</v>
      </c>
      <c r="G9" s="22">
        <f t="shared" si="2"/>
        <v>0.97310355113190372</v>
      </c>
      <c r="I9" s="1"/>
    </row>
    <row r="10" spans="2:33">
      <c r="B10">
        <v>8000</v>
      </c>
      <c r="C10" s="38">
        <v>689680</v>
      </c>
      <c r="D10" s="37">
        <v>44958</v>
      </c>
      <c r="E10" s="2">
        <f t="shared" si="0"/>
        <v>86.21</v>
      </c>
      <c r="F10" s="1">
        <f t="shared" si="1"/>
        <v>-7.2782687139444358E-2</v>
      </c>
      <c r="G10" s="22">
        <f t="shared" si="2"/>
        <v>0.92721731286055564</v>
      </c>
      <c r="I10" s="1"/>
    </row>
    <row r="11" spans="2:33">
      <c r="B11">
        <v>8000</v>
      </c>
      <c r="C11" s="38">
        <v>671320</v>
      </c>
      <c r="D11" s="54">
        <v>44986</v>
      </c>
      <c r="E11" s="2">
        <f t="shared" si="0"/>
        <v>83.915000000000006</v>
      </c>
      <c r="F11" s="1">
        <f t="shared" si="1"/>
        <v>-2.6621041642500676E-2</v>
      </c>
      <c r="G11" s="22">
        <f t="shared" si="2"/>
        <v>0.97337895835749932</v>
      </c>
      <c r="H11" s="1">
        <f>E11/E8-1</f>
        <v>-0.12174113263629405</v>
      </c>
      <c r="I11" s="1"/>
    </row>
    <row r="12" spans="2:33">
      <c r="B12">
        <v>8000</v>
      </c>
      <c r="C12" s="38">
        <v>629655</v>
      </c>
      <c r="D12" s="58">
        <v>45017</v>
      </c>
      <c r="E12" s="2">
        <f t="shared" si="0"/>
        <v>78.706874999999997</v>
      </c>
      <c r="F12" s="1">
        <f t="shared" si="1"/>
        <v>-6.2064291247095338E-2</v>
      </c>
      <c r="G12" s="22">
        <f t="shared" si="2"/>
        <v>0.93793570875290466</v>
      </c>
      <c r="H12" s="1"/>
      <c r="I12" s="1"/>
    </row>
    <row r="13" spans="2:33">
      <c r="B13">
        <v>8000</v>
      </c>
      <c r="C13" s="38">
        <v>615713</v>
      </c>
      <c r="D13" s="37">
        <v>45047</v>
      </c>
      <c r="E13" s="2">
        <f t="shared" si="0"/>
        <v>76.964124999999996</v>
      </c>
      <c r="F13" s="1">
        <f t="shared" si="1"/>
        <v>-2.2142284266780998E-2</v>
      </c>
      <c r="G13" s="22">
        <f t="shared" si="2"/>
        <v>0.977857715733219</v>
      </c>
      <c r="H13" s="1"/>
      <c r="I13" s="1"/>
    </row>
    <row r="14" spans="2:33">
      <c r="B14">
        <v>8000</v>
      </c>
      <c r="C14" s="38">
        <v>638413</v>
      </c>
      <c r="D14" s="59">
        <v>45078</v>
      </c>
      <c r="E14" s="2">
        <f t="shared" si="0"/>
        <v>79.801625000000001</v>
      </c>
      <c r="F14" s="1">
        <f t="shared" si="1"/>
        <v>3.6867826406134174E-2</v>
      </c>
      <c r="G14" s="22">
        <f>F14+1</f>
        <v>1.0368678264061342</v>
      </c>
      <c r="H14" s="1">
        <f>E14/E11-1</f>
        <v>-4.9018351903712176E-2</v>
      </c>
      <c r="I14" s="1">
        <f>E14/E8-1</f>
        <v>-0.1647919348592839</v>
      </c>
    </row>
    <row r="15" spans="2:33">
      <c r="B15">
        <v>8000</v>
      </c>
      <c r="C15" s="38">
        <v>696245</v>
      </c>
      <c r="D15" s="58">
        <v>45108</v>
      </c>
      <c r="E15" s="2">
        <f t="shared" si="0"/>
        <v>87.030625000000001</v>
      </c>
      <c r="F15" s="1">
        <f>E15/E14-1</f>
        <v>9.0587127768388065E-2</v>
      </c>
      <c r="G15" s="22">
        <f t="shared" ref="G15:G16" si="3">F15+1</f>
        <v>1.0905871277683881</v>
      </c>
      <c r="H15" s="1"/>
      <c r="I15" s="1"/>
    </row>
    <row r="16" spans="2:33">
      <c r="B16">
        <v>8000</v>
      </c>
      <c r="C16" s="38">
        <v>645317</v>
      </c>
      <c r="D16" s="37">
        <v>45139</v>
      </c>
      <c r="E16" s="2">
        <f t="shared" si="0"/>
        <v>80.664625000000001</v>
      </c>
      <c r="F16" s="1">
        <f t="shared" ref="F16" si="4">E16/E15-1</f>
        <v>-7.3146665326142335E-2</v>
      </c>
      <c r="G16" s="22">
        <f t="shared" si="3"/>
        <v>0.92685333467385767</v>
      </c>
      <c r="H16" s="1"/>
      <c r="I16" s="1"/>
    </row>
    <row r="17" spans="1:9">
      <c r="B17">
        <v>8000</v>
      </c>
      <c r="C17" s="38">
        <v>609314</v>
      </c>
      <c r="D17" s="59">
        <v>45170</v>
      </c>
      <c r="E17" s="2">
        <f t="shared" si="0"/>
        <v>76.164249999999996</v>
      </c>
      <c r="F17" s="1">
        <f>E17/E16-1</f>
        <v>-5.5791184797549187E-2</v>
      </c>
      <c r="G17" s="22">
        <f>F17+1</f>
        <v>0.94420881520245081</v>
      </c>
      <c r="H17" s="1">
        <f>E17/E14-1</f>
        <v>-4.5580212182396052E-2</v>
      </c>
      <c r="I17" s="1">
        <f>E17/E8-1</f>
        <v>-0.20286089568484622</v>
      </c>
    </row>
    <row r="18" spans="1:9">
      <c r="B18">
        <v>8000</v>
      </c>
      <c r="C18" s="38">
        <v>585753</v>
      </c>
      <c r="D18" s="58">
        <v>45200</v>
      </c>
      <c r="E18" s="2">
        <f t="shared" si="0"/>
        <v>73.219125000000005</v>
      </c>
      <c r="F18" s="1">
        <f t="shared" ref="F18:F23" si="5">E18/E17-1</f>
        <v>-3.8668075901751697E-2</v>
      </c>
      <c r="G18" s="22">
        <f t="shared" ref="G18:G25" si="6">F18+1</f>
        <v>0.9613319240982483</v>
      </c>
      <c r="H18" s="1"/>
      <c r="I18" s="1"/>
    </row>
    <row r="19" spans="1:9">
      <c r="B19">
        <v>8000</v>
      </c>
      <c r="C19" s="38">
        <v>545974</v>
      </c>
      <c r="D19" s="37">
        <v>45231</v>
      </c>
      <c r="E19" s="2">
        <f t="shared" si="0"/>
        <v>68.246750000000006</v>
      </c>
      <c r="F19" s="1">
        <f t="shared" si="5"/>
        <v>-6.7910877110317847E-2</v>
      </c>
      <c r="G19" s="22">
        <f t="shared" si="6"/>
        <v>0.93208912288968215</v>
      </c>
      <c r="H19" s="1"/>
      <c r="I19" s="1"/>
    </row>
    <row r="20" spans="1:9">
      <c r="B20">
        <v>8000</v>
      </c>
      <c r="C20" s="38">
        <v>630785</v>
      </c>
      <c r="D20" s="59">
        <v>45261</v>
      </c>
      <c r="E20" s="2">
        <f t="shared" si="0"/>
        <v>78.848124999999996</v>
      </c>
      <c r="F20" s="1">
        <f t="shared" si="5"/>
        <v>0.15533889892192643</v>
      </c>
      <c r="G20" s="22">
        <f t="shared" si="6"/>
        <v>1.1553388989219264</v>
      </c>
      <c r="H20" s="1">
        <f>E20/E17-1</f>
        <v>3.5237988951509314E-2</v>
      </c>
      <c r="I20" s="1">
        <f>E20/E8-1</f>
        <v>-0.17477131673417268</v>
      </c>
    </row>
    <row r="21" spans="1:9">
      <c r="B21">
        <v>8000</v>
      </c>
      <c r="C21" s="38">
        <v>606777</v>
      </c>
      <c r="D21" s="58">
        <v>45292</v>
      </c>
      <c r="E21" s="2">
        <f t="shared" si="0"/>
        <v>75.847125000000005</v>
      </c>
      <c r="F21" s="1">
        <f t="shared" si="5"/>
        <v>-3.8060511901836458E-2</v>
      </c>
      <c r="G21" s="22">
        <f t="shared" si="6"/>
        <v>0.96193948809816354</v>
      </c>
      <c r="H21" s="1"/>
      <c r="I21" s="1"/>
    </row>
    <row r="22" spans="1:9">
      <c r="B22">
        <v>8000</v>
      </c>
      <c r="C22" s="38">
        <v>811963</v>
      </c>
      <c r="D22" s="37">
        <v>45323</v>
      </c>
      <c r="E22" s="2">
        <f t="shared" si="0"/>
        <v>101.495375</v>
      </c>
      <c r="F22" s="1">
        <f t="shared" si="5"/>
        <v>0.33815718130383954</v>
      </c>
      <c r="G22" s="22">
        <f t="shared" si="6"/>
        <v>1.3381571813038395</v>
      </c>
      <c r="H22" s="1"/>
      <c r="I22" s="1"/>
    </row>
    <row r="23" spans="1:9">
      <c r="B23">
        <v>8000</v>
      </c>
      <c r="C23" s="38">
        <v>610304</v>
      </c>
      <c r="D23" s="59">
        <v>45352</v>
      </c>
      <c r="E23" s="2">
        <f t="shared" si="0"/>
        <v>76.287999999999997</v>
      </c>
      <c r="F23" s="1">
        <f t="shared" si="5"/>
        <v>-0.24835983905670578</v>
      </c>
      <c r="G23" s="22">
        <f t="shared" si="6"/>
        <v>0.75164016094329422</v>
      </c>
      <c r="H23" s="1">
        <f>E23/E20-1</f>
        <v>-3.2469066322122431E-2</v>
      </c>
      <c r="I23" s="1">
        <f>E23/E20-1</f>
        <v>-3.2469066322122431E-2</v>
      </c>
    </row>
    <row r="24" spans="1:9">
      <c r="B24">
        <v>8000</v>
      </c>
      <c r="C24" s="68">
        <v>571946</v>
      </c>
      <c r="D24" s="58">
        <v>45383</v>
      </c>
      <c r="E24" s="2">
        <f t="shared" si="0"/>
        <v>71.493250000000003</v>
      </c>
      <c r="F24" s="1">
        <f t="shared" ref="F24:F29" si="7">E24/E23-1</f>
        <v>-6.2850644924496546E-2</v>
      </c>
      <c r="G24" s="22">
        <f t="shared" si="6"/>
        <v>0.93714935507550345</v>
      </c>
      <c r="H24" s="1"/>
      <c r="I24" s="1"/>
    </row>
    <row r="25" spans="1:9">
      <c r="B25">
        <v>8000</v>
      </c>
      <c r="C25" s="38">
        <v>619522</v>
      </c>
      <c r="D25" s="37">
        <v>45413</v>
      </c>
      <c r="E25" s="2">
        <f t="shared" si="0"/>
        <v>77.440250000000006</v>
      </c>
      <c r="F25" s="1">
        <f t="shared" si="7"/>
        <v>8.3182678084994022E-2</v>
      </c>
      <c r="G25" s="22">
        <f t="shared" si="6"/>
        <v>1.083182678084994</v>
      </c>
      <c r="H25" s="1"/>
      <c r="I25" s="1"/>
    </row>
    <row r="26" spans="1:9">
      <c r="A26" s="70"/>
      <c r="B26">
        <v>8000</v>
      </c>
      <c r="C26" s="38">
        <v>543102</v>
      </c>
      <c r="D26" s="59">
        <v>45444</v>
      </c>
      <c r="E26" s="2">
        <f t="shared" si="0"/>
        <v>67.887749999999997</v>
      </c>
      <c r="F26" s="1">
        <f t="shared" si="7"/>
        <v>-0.12335316582784805</v>
      </c>
      <c r="G26" s="22">
        <f>F26+1</f>
        <v>0.87664683417215195</v>
      </c>
      <c r="H26" s="1">
        <f>E26/E23-1</f>
        <v>-0.11011233745805371</v>
      </c>
      <c r="I26" s="1">
        <f>E26/$E$20-1</f>
        <v>-0.13900615899236668</v>
      </c>
    </row>
    <row r="27" spans="1:9">
      <c r="A27" s="70"/>
      <c r="B27">
        <v>8000</v>
      </c>
      <c r="C27" s="38">
        <v>546043</v>
      </c>
      <c r="D27" s="58">
        <v>45474</v>
      </c>
      <c r="E27" s="2">
        <f t="shared" si="0"/>
        <v>68.255375000000001</v>
      </c>
      <c r="F27" s="1">
        <f t="shared" si="7"/>
        <v>5.4151890436788808E-3</v>
      </c>
      <c r="G27" s="22">
        <f>F27+1</f>
        <v>1.0054151890436789</v>
      </c>
      <c r="H27" s="1"/>
      <c r="I27" s="1"/>
    </row>
    <row r="28" spans="1:9">
      <c r="A28" s="70" t="s">
        <v>54</v>
      </c>
      <c r="B28">
        <v>7840</v>
      </c>
      <c r="C28" s="38">
        <f>461939.66</f>
        <v>461939.66</v>
      </c>
      <c r="D28" s="37">
        <v>45505</v>
      </c>
      <c r="E28" s="2">
        <f t="shared" si="0"/>
        <v>58.920874999999995</v>
      </c>
      <c r="F28" s="1">
        <f t="shared" si="7"/>
        <v>-0.13675846041428985</v>
      </c>
      <c r="G28" s="22">
        <f>F28+1</f>
        <v>0.86324153958571015</v>
      </c>
      <c r="H28" s="1"/>
      <c r="I28" s="1"/>
    </row>
    <row r="29" spans="1:9">
      <c r="A29" s="70"/>
      <c r="B29">
        <v>7683.2</v>
      </c>
      <c r="C29" s="38">
        <f>425921.08</f>
        <v>425921.08</v>
      </c>
      <c r="D29" s="76">
        <v>45536</v>
      </c>
      <c r="E29" s="2">
        <f t="shared" si="0"/>
        <v>55.435375885047897</v>
      </c>
      <c r="F29" s="1">
        <f t="shared" si="7"/>
        <v>-5.9155589847436851E-2</v>
      </c>
      <c r="G29" s="22">
        <f>F29+1</f>
        <v>0.94084441015256315</v>
      </c>
      <c r="H29" s="1">
        <f>E29/E26-1</f>
        <v>-0.18342593641639471</v>
      </c>
      <c r="I29" s="1">
        <f>E29/$E$20-1</f>
        <v>-0.29693476052794032</v>
      </c>
    </row>
    <row r="30" spans="1:9">
      <c r="A30" s="70"/>
      <c r="B30">
        <v>7529.5360000000001</v>
      </c>
      <c r="C30" s="38">
        <v>395178.29</v>
      </c>
      <c r="D30" s="37">
        <v>45566</v>
      </c>
      <c r="E30" s="2">
        <f t="shared" si="0"/>
        <v>52.483750658739126</v>
      </c>
      <c r="F30" s="1">
        <f t="shared" ref="F30:F31" si="8">E30/E29-1</f>
        <v>-5.3244434247714523E-2</v>
      </c>
      <c r="G30" s="22">
        <f t="shared" ref="G30:G32" si="9">F30+1</f>
        <v>0.94675556575228548</v>
      </c>
      <c r="H30" s="1"/>
      <c r="I30" s="1"/>
    </row>
    <row r="31" spans="1:9">
      <c r="A31" s="70"/>
      <c r="B31">
        <v>7416.5929999999998</v>
      </c>
      <c r="C31" s="38">
        <v>521850.03</v>
      </c>
      <c r="D31" s="37">
        <v>45597</v>
      </c>
      <c r="E31" s="2">
        <f t="shared" si="0"/>
        <v>70.362500679220233</v>
      </c>
      <c r="F31" s="1">
        <f t="shared" si="8"/>
        <v>0.3406530553948528</v>
      </c>
      <c r="G31" s="22">
        <f t="shared" si="9"/>
        <v>1.3406530553948528</v>
      </c>
      <c r="H31" s="1"/>
      <c r="I31" s="1"/>
    </row>
    <row r="32" spans="1:9">
      <c r="A32" s="70"/>
      <c r="B32">
        <v>7327.5940000000001</v>
      </c>
      <c r="C32" s="38">
        <v>560847.63</v>
      </c>
      <c r="D32" s="76">
        <v>45627</v>
      </c>
      <c r="E32" s="2">
        <f t="shared" si="0"/>
        <v>76.539124574860452</v>
      </c>
      <c r="F32" s="1">
        <f>E32/E31-1</f>
        <v>8.7782893388044902E-2</v>
      </c>
      <c r="G32" s="22">
        <f t="shared" si="9"/>
        <v>1.0877828933880449</v>
      </c>
      <c r="H32" s="1">
        <f>E32/E29-1</f>
        <v>0.38069100015798196</v>
      </c>
      <c r="I32" s="1">
        <f>E32/$E$20-1</f>
        <v>-2.9284151337010789E-2</v>
      </c>
    </row>
    <row r="33" spans="1:19">
      <c r="A33" s="70"/>
      <c r="C33" s="38"/>
      <c r="D33" s="37"/>
      <c r="E33" s="2"/>
      <c r="F33" s="1"/>
      <c r="G33" s="22"/>
      <c r="H33" s="1"/>
      <c r="I33" s="1"/>
    </row>
    <row r="34" spans="1:19">
      <c r="A34" s="70"/>
      <c r="C34" s="38"/>
      <c r="D34" s="37"/>
      <c r="E34" s="2"/>
      <c r="F34" s="1"/>
      <c r="G34" s="22"/>
      <c r="H34" s="1"/>
      <c r="I34" s="1"/>
    </row>
    <row r="35" spans="1:19">
      <c r="C35" s="38"/>
      <c r="D35" s="76"/>
      <c r="E35" s="2"/>
      <c r="F35" s="1"/>
      <c r="G35" s="22"/>
      <c r="H35" s="1"/>
      <c r="I35" s="1"/>
    </row>
    <row r="36" spans="1:19" ht="16.8" thickBot="1">
      <c r="C36" s="38"/>
      <c r="D36" s="37"/>
      <c r="F36" s="27"/>
      <c r="I36" s="1"/>
    </row>
    <row r="37" spans="1:19">
      <c r="C37" s="38"/>
      <c r="E37" s="82" t="s">
        <v>4</v>
      </c>
      <c r="F37" s="83"/>
    </row>
    <row r="38" spans="1:19">
      <c r="C38" s="38"/>
      <c r="E38" s="84"/>
      <c r="F38" s="85"/>
      <c r="H38" s="1"/>
    </row>
    <row r="39" spans="1:19">
      <c r="C39" s="38"/>
      <c r="E39" s="14" t="s">
        <v>6</v>
      </c>
      <c r="F39" s="23">
        <v>44749</v>
      </c>
      <c r="H39" s="66"/>
    </row>
    <row r="40" spans="1:19">
      <c r="C40" s="38"/>
      <c r="E40" s="14" t="s">
        <v>7</v>
      </c>
      <c r="F40" s="23">
        <v>45657</v>
      </c>
      <c r="H40" s="66"/>
    </row>
    <row r="41" spans="1:19">
      <c r="C41" s="38"/>
      <c r="E41" s="61" t="s">
        <v>1</v>
      </c>
      <c r="F41" s="4">
        <f>(E32-100)/100</f>
        <v>-0.23460875425139549</v>
      </c>
      <c r="G41" s="64" t="str">
        <f ca="1">_xlfn.FORMULATEXT(F41)</f>
        <v>=(E32-100)/100</v>
      </c>
      <c r="P41" s="12"/>
      <c r="Q41" s="19"/>
      <c r="S41" s="29"/>
    </row>
    <row r="42" spans="1:19">
      <c r="E42" s="62" t="s">
        <v>2</v>
      </c>
      <c r="F42" s="4">
        <f>(E32-E20)/E20</f>
        <v>-2.9284151337010796E-2</v>
      </c>
      <c r="G42" s="64" t="str">
        <f t="shared" ref="G42:G56" ca="1" si="10">_xlfn.FORMULATEXT(F42)</f>
        <v>=(E32-E20)/E20</v>
      </c>
      <c r="P42" s="12"/>
      <c r="Q42" s="19"/>
    </row>
    <row r="43" spans="1:19">
      <c r="E43" s="62" t="s">
        <v>36</v>
      </c>
      <c r="F43" s="4">
        <f>STDEVA(F3:F32)</f>
        <v>0.11989615668321588</v>
      </c>
      <c r="G43" s="64" t="str">
        <f t="shared" ca="1" si="10"/>
        <v>=STDEVA(F3:F32)</v>
      </c>
      <c r="J43" s="73" t="s">
        <v>9</v>
      </c>
      <c r="K43" t="s">
        <v>42</v>
      </c>
      <c r="P43" s="30" t="s">
        <v>32</v>
      </c>
      <c r="Q43" s="47">
        <f>F41</f>
        <v>-0.23460875425139549</v>
      </c>
    </row>
    <row r="44" spans="1:19">
      <c r="E44" s="62" t="s">
        <v>35</v>
      </c>
      <c r="F44" s="4">
        <f>STDEVA(F21:F32)</f>
        <v>0.17860591519728977</v>
      </c>
      <c r="G44" s="64" t="str">
        <f t="shared" ca="1" si="10"/>
        <v>=STDEVA(F21:F32)</v>
      </c>
      <c r="J44" s="73">
        <f>AVERAGE(K46:K57)</f>
        <v>4.2227583333333341</v>
      </c>
      <c r="M44" s="13"/>
      <c r="P44" s="29" t="s">
        <v>33</v>
      </c>
      <c r="Q44" s="47">
        <f>F42</f>
        <v>-2.9284151337010796E-2</v>
      </c>
    </row>
    <row r="45" spans="1:19">
      <c r="C45" s="6"/>
      <c r="E45" s="62" t="s">
        <v>13</v>
      </c>
      <c r="F45" s="7">
        <f>F40-F39</f>
        <v>908</v>
      </c>
      <c r="G45" t="str">
        <f ca="1">_xlfn.FORMULATEXT(F45)</f>
        <v>=F40-F39</v>
      </c>
      <c r="J45" s="5" t="s">
        <v>10</v>
      </c>
      <c r="K45" s="65" t="s">
        <v>48</v>
      </c>
      <c r="L45" s="5"/>
      <c r="M45" s="13"/>
      <c r="P45" s="30" t="s">
        <v>20</v>
      </c>
      <c r="Q45" s="47">
        <f>F46</f>
        <v>-0.10142693519465418</v>
      </c>
    </row>
    <row r="46" spans="1:19">
      <c r="E46" s="62" t="s">
        <v>12</v>
      </c>
      <c r="F46" s="4">
        <f>(PRODUCT(G3:G32))^(12/COUNT(G3:G32))-1</f>
        <v>-0.10142693519465418</v>
      </c>
      <c r="G46" s="64" t="str">
        <f t="shared" ca="1" si="10"/>
        <v>=(PRODUCT(G3:G32))^(12/COUNT(G3:G32))-1</v>
      </c>
      <c r="J46" s="13">
        <v>45657</v>
      </c>
      <c r="K46" s="65">
        <v>4.569</v>
      </c>
      <c r="L46" s="5"/>
      <c r="M46" s="13"/>
      <c r="P46" s="29" t="s">
        <v>45</v>
      </c>
      <c r="Q46" s="48">
        <f>F55</f>
        <v>0.36666666666666664</v>
      </c>
    </row>
    <row r="47" spans="1:19">
      <c r="E47" s="62" t="s">
        <v>47</v>
      </c>
      <c r="F47" s="8">
        <f>MAX(F3:F32)</f>
        <v>0.3406530553948528</v>
      </c>
      <c r="G47" s="64" t="str">
        <f t="shared" ca="1" si="10"/>
        <v>=MAX(F3:F32)</v>
      </c>
      <c r="J47" s="13">
        <v>45625</v>
      </c>
      <c r="K47" s="65">
        <v>4.1684999999999999</v>
      </c>
      <c r="M47" s="13"/>
      <c r="P47" s="30" t="s">
        <v>43</v>
      </c>
      <c r="Q47" s="48">
        <f>F56</f>
        <v>0.6333333333333333</v>
      </c>
    </row>
    <row r="48" spans="1:19">
      <c r="E48" s="62" t="s">
        <v>44</v>
      </c>
      <c r="F48" s="8">
        <f>MIN(F3:F32)</f>
        <v>-0.24835983905670578</v>
      </c>
      <c r="G48" s="64" t="str">
        <f t="shared" ca="1" si="10"/>
        <v>=MIN(F3:F32)</v>
      </c>
      <c r="J48" s="13">
        <v>45596</v>
      </c>
      <c r="K48" s="65">
        <v>4.2843999999999998</v>
      </c>
      <c r="M48" s="13"/>
      <c r="P48" s="29" t="s">
        <v>21</v>
      </c>
      <c r="Q48" s="47">
        <f>F49</f>
        <v>0.4153324700151374</v>
      </c>
    </row>
    <row r="49" spans="5:17">
      <c r="E49" s="62" t="s">
        <v>17</v>
      </c>
      <c r="F49" s="4">
        <f>F43*SQRT(12)</f>
        <v>0.4153324700151374</v>
      </c>
      <c r="G49" t="str">
        <f ca="1">_xlfn.FORMULATEXT(F49)</f>
        <v>=F43*SQRT(12)</v>
      </c>
      <c r="J49" s="13">
        <v>45565</v>
      </c>
      <c r="K49" s="65">
        <v>3.7808999999999999</v>
      </c>
      <c r="M49" s="13"/>
      <c r="P49" s="30" t="s">
        <v>22</v>
      </c>
      <c r="Q49" s="49">
        <f>F52</f>
        <v>-0.34587837190468596</v>
      </c>
    </row>
    <row r="50" spans="5:17">
      <c r="E50" s="62" t="s">
        <v>18</v>
      </c>
      <c r="F50" s="4">
        <f>F44*SQRT(12)</f>
        <v>0.61870903930808829</v>
      </c>
      <c r="G50" t="str">
        <f t="shared" ca="1" si="10"/>
        <v>=F44*SQRT(12)</v>
      </c>
      <c r="J50" s="13">
        <v>45534</v>
      </c>
      <c r="K50">
        <v>3.9034</v>
      </c>
      <c r="L50" s="5"/>
      <c r="M50" s="13"/>
      <c r="P50" s="29"/>
      <c r="Q50" s="35"/>
    </row>
    <row r="51" spans="5:17">
      <c r="E51" s="71" t="s">
        <v>5</v>
      </c>
      <c r="F51" s="74">
        <f>J44/100</f>
        <v>4.2227583333333339E-2</v>
      </c>
      <c r="G51" t="str">
        <f t="shared" ca="1" si="10"/>
        <v>=J44/100</v>
      </c>
      <c r="J51" s="13">
        <v>45504</v>
      </c>
      <c r="K51">
        <v>4.0296000000000003</v>
      </c>
      <c r="L51" s="5"/>
      <c r="M51" s="13"/>
      <c r="Q51" s="46"/>
    </row>
    <row r="52" spans="5:17">
      <c r="E52" s="71" t="s">
        <v>3</v>
      </c>
      <c r="F52" s="72">
        <f>(F46-F51)/F49</f>
        <v>-0.34587837190468596</v>
      </c>
      <c r="G52" t="str">
        <f t="shared" ca="1" si="10"/>
        <v>=(F46-F51)/F49</v>
      </c>
      <c r="J52" s="13">
        <v>45471</v>
      </c>
      <c r="K52">
        <v>4.3960999999999997</v>
      </c>
      <c r="L52" s="5"/>
      <c r="M52" s="13"/>
      <c r="P52" s="12"/>
      <c r="Q52" s="19"/>
    </row>
    <row r="53" spans="5:17">
      <c r="E53" s="62" t="s">
        <v>19</v>
      </c>
      <c r="F53" s="4">
        <f>E30/E25-1</f>
        <v>-0.32226780442032243</v>
      </c>
      <c r="G53" s="64" t="str">
        <f t="shared" ca="1" si="10"/>
        <v>=E30/E25-1</v>
      </c>
      <c r="J53" s="13">
        <v>45443</v>
      </c>
      <c r="K53">
        <v>4.4984999999999999</v>
      </c>
      <c r="L53" s="5"/>
      <c r="M53" s="13"/>
    </row>
    <row r="54" spans="5:17">
      <c r="E54" s="62" t="s">
        <v>14</v>
      </c>
      <c r="F54" s="7">
        <f>COUNT(F3:F32)</f>
        <v>30</v>
      </c>
      <c r="G54" s="64" t="str">
        <f t="shared" ca="1" si="10"/>
        <v>=COUNT(F3:F32)</v>
      </c>
      <c r="J54" s="13">
        <v>45412</v>
      </c>
      <c r="K54">
        <v>4.6798000000000002</v>
      </c>
      <c r="L54" s="5"/>
      <c r="M54" s="13"/>
    </row>
    <row r="55" spans="5:17">
      <c r="E55" s="62" t="s">
        <v>15</v>
      </c>
      <c r="F55" s="51">
        <f>COUNTIF(F3:F32,"&gt;0")/F54</f>
        <v>0.36666666666666664</v>
      </c>
      <c r="G55" s="64" t="str">
        <f t="shared" ca="1" si="10"/>
        <v>=COUNTIF(F3:F32,"&gt;0")/F54</v>
      </c>
      <c r="J55" s="13">
        <v>45380</v>
      </c>
      <c r="K55">
        <v>4.2003000000000004</v>
      </c>
      <c r="L55" s="5"/>
      <c r="M55" s="13"/>
    </row>
    <row r="56" spans="5:17" ht="16.8" thickBot="1">
      <c r="E56" s="63" t="s">
        <v>16</v>
      </c>
      <c r="F56" s="53">
        <f>COUNTIF(F3:F32,"&lt;0")/F54</f>
        <v>0.6333333333333333</v>
      </c>
      <c r="G56" s="64" t="str">
        <f t="shared" ca="1" si="10"/>
        <v>=COUNTIF(F3:F32,"&lt;0")/F54</v>
      </c>
      <c r="J56" s="13">
        <v>45351</v>
      </c>
      <c r="K56">
        <v>4.2502000000000004</v>
      </c>
      <c r="L56" s="5"/>
      <c r="M56" s="13"/>
    </row>
    <row r="57" spans="5:17">
      <c r="J57" s="13">
        <v>45322</v>
      </c>
      <c r="K57">
        <v>3.9123999999999999</v>
      </c>
      <c r="L57" s="5"/>
      <c r="M57" s="13"/>
    </row>
    <row r="58" spans="5:17">
      <c r="J58" s="13">
        <v>45289</v>
      </c>
      <c r="K58">
        <v>3.8791000000000002</v>
      </c>
      <c r="L58" s="5"/>
      <c r="M58" s="13"/>
    </row>
    <row r="59" spans="5:17">
      <c r="J59" s="13">
        <v>45260</v>
      </c>
      <c r="K59">
        <v>4.3263999999999996</v>
      </c>
      <c r="L59" s="5"/>
      <c r="M59" s="13"/>
    </row>
    <row r="60" spans="5:17">
      <c r="J60" s="13">
        <v>45230</v>
      </c>
      <c r="K60">
        <v>4.9306999999999999</v>
      </c>
      <c r="L60" s="5"/>
      <c r="M60" s="13"/>
    </row>
    <row r="61" spans="5:17">
      <c r="J61" s="13">
        <v>45198</v>
      </c>
      <c r="K61">
        <v>4.5711000000000004</v>
      </c>
      <c r="L61" s="5"/>
      <c r="M61" s="13"/>
    </row>
    <row r="62" spans="5:17">
      <c r="J62" s="13">
        <v>45169</v>
      </c>
      <c r="K62">
        <v>4.1081000000000003</v>
      </c>
      <c r="M62" s="13"/>
    </row>
    <row r="63" spans="5:17">
      <c r="J63" s="13">
        <v>45138</v>
      </c>
      <c r="K63">
        <v>3.9588000000000001</v>
      </c>
      <c r="M63" s="13"/>
    </row>
    <row r="64" spans="5:17">
      <c r="J64" s="13">
        <v>45107</v>
      </c>
      <c r="K64">
        <v>3.8367</v>
      </c>
      <c r="M64" s="13"/>
    </row>
    <row r="65" spans="10:13">
      <c r="J65" s="13">
        <v>45077</v>
      </c>
      <c r="K65">
        <v>3.6425999999999998</v>
      </c>
      <c r="M65" s="13"/>
    </row>
    <row r="66" spans="10:13">
      <c r="J66" s="13">
        <v>45044</v>
      </c>
      <c r="K66">
        <v>3.4220000000000002</v>
      </c>
      <c r="M66" s="13"/>
    </row>
    <row r="67" spans="10:13">
      <c r="J67" s="13">
        <v>45016</v>
      </c>
      <c r="K67" s="5">
        <v>3.4676</v>
      </c>
      <c r="M67" s="13"/>
    </row>
    <row r="68" spans="10:13">
      <c r="J68" s="13">
        <v>44985</v>
      </c>
      <c r="K68" s="5">
        <v>3.92</v>
      </c>
    </row>
    <row r="69" spans="10:13">
      <c r="J69" s="13">
        <v>44957</v>
      </c>
      <c r="K69" s="5">
        <v>3.5068999999999999</v>
      </c>
    </row>
    <row r="70" spans="10:13">
      <c r="J70" s="13">
        <v>44925</v>
      </c>
      <c r="K70" s="5">
        <v>3.8748</v>
      </c>
    </row>
    <row r="71" spans="10:13">
      <c r="J71" s="13">
        <v>44895</v>
      </c>
      <c r="K71" s="5">
        <v>3.6053999999999999</v>
      </c>
    </row>
    <row r="72" spans="10:13">
      <c r="J72" s="25">
        <v>44865</v>
      </c>
      <c r="K72" s="5">
        <v>4.0477999999999996</v>
      </c>
    </row>
    <row r="73" spans="10:13">
      <c r="J73" s="13">
        <v>44834</v>
      </c>
      <c r="K73" s="5">
        <v>3.8285999999999998</v>
      </c>
    </row>
    <row r="74" spans="10:13">
      <c r="J74" s="13">
        <v>44804</v>
      </c>
      <c r="K74" s="5">
        <v>3.1926000000000001</v>
      </c>
    </row>
    <row r="75" spans="10:13">
      <c r="J75" s="13">
        <v>44772</v>
      </c>
      <c r="K75" s="5">
        <v>2.6486999999999998</v>
      </c>
    </row>
    <row r="76" spans="10:13">
      <c r="J76" s="13">
        <v>44742</v>
      </c>
      <c r="K76" s="5">
        <v>3.0129000000000001</v>
      </c>
    </row>
    <row r="77" spans="10:13">
      <c r="J77" s="13">
        <v>44711</v>
      </c>
      <c r="K77" s="5">
        <v>2.8441000000000001</v>
      </c>
    </row>
    <row r="78" spans="10:13">
      <c r="J78" s="13">
        <v>44680</v>
      </c>
      <c r="K78" s="5">
        <v>2.9336000000000002</v>
      </c>
    </row>
    <row r="79" spans="10:13">
      <c r="J79" s="13">
        <v>44651</v>
      </c>
      <c r="K79" s="5">
        <v>2.3433999999999999</v>
      </c>
    </row>
    <row r="80" spans="10:13">
      <c r="J80" s="13">
        <v>44620</v>
      </c>
      <c r="K80" s="5">
        <v>1.825</v>
      </c>
    </row>
    <row r="81" spans="10:11">
      <c r="J81" s="13">
        <v>44592</v>
      </c>
      <c r="K81" s="5">
        <v>1.7766999999999999</v>
      </c>
    </row>
    <row r="82" spans="10:11">
      <c r="J82" s="13">
        <v>44561</v>
      </c>
      <c r="K82" s="5">
        <v>1.5101</v>
      </c>
    </row>
    <row r="83" spans="10:11">
      <c r="J83" s="13">
        <v>44530</v>
      </c>
      <c r="K83" s="5">
        <v>1.4442999999999999</v>
      </c>
    </row>
    <row r="84" spans="10:11">
      <c r="J84" s="13">
        <v>44498</v>
      </c>
      <c r="K84" s="5">
        <v>1.5521</v>
      </c>
    </row>
    <row r="85" spans="10:11">
      <c r="J85" s="13" t="s">
        <v>24</v>
      </c>
      <c r="K85" s="5">
        <v>1.4873000000000001</v>
      </c>
    </row>
    <row r="86" spans="10:11">
      <c r="J86" s="13">
        <v>44439</v>
      </c>
      <c r="K86" s="5">
        <v>1.3088</v>
      </c>
    </row>
    <row r="87" spans="10:11">
      <c r="J87" s="13">
        <v>44408</v>
      </c>
      <c r="K87" s="5">
        <v>1.2222999999999999</v>
      </c>
    </row>
    <row r="88" spans="10:11">
      <c r="J88" s="13">
        <v>44377</v>
      </c>
      <c r="K88" s="5">
        <v>1.468</v>
      </c>
    </row>
    <row r="89" spans="10:11">
      <c r="J89" s="13">
        <v>44347</v>
      </c>
      <c r="K89" s="5">
        <v>1.5943000000000001</v>
      </c>
    </row>
    <row r="90" spans="10:11">
      <c r="J90" s="13">
        <v>44316</v>
      </c>
      <c r="K90" s="5">
        <v>1.6259000000000001</v>
      </c>
    </row>
    <row r="91" spans="10:11">
      <c r="J91" s="13">
        <v>44286</v>
      </c>
      <c r="K91" s="5">
        <v>1.7403999999999999</v>
      </c>
    </row>
    <row r="92" spans="10:11">
      <c r="J92" s="13">
        <v>44253</v>
      </c>
      <c r="K92" s="5">
        <v>1.4049</v>
      </c>
    </row>
    <row r="93" spans="10:11">
      <c r="J93" s="13">
        <v>44225</v>
      </c>
      <c r="K93" s="5">
        <v>1.0655000000000001</v>
      </c>
    </row>
    <row r="94" spans="10:11">
      <c r="J94" s="13">
        <v>44196</v>
      </c>
      <c r="K94" s="5">
        <v>0.91320000000000001</v>
      </c>
    </row>
    <row r="95" spans="10:11">
      <c r="J95" s="13">
        <v>44165</v>
      </c>
      <c r="K95" s="5">
        <v>0.83889999999999998</v>
      </c>
    </row>
    <row r="96" spans="10:11">
      <c r="J96" s="13">
        <v>44134</v>
      </c>
      <c r="K96" s="5">
        <v>0.87370000000000003</v>
      </c>
    </row>
    <row r="97" spans="10:11">
      <c r="J97" s="13">
        <v>44104</v>
      </c>
      <c r="K97" s="5">
        <v>0.68400000000000005</v>
      </c>
    </row>
    <row r="98" spans="10:11">
      <c r="J98" s="13">
        <v>44074</v>
      </c>
      <c r="K98" s="5">
        <v>0.70479999999999998</v>
      </c>
    </row>
    <row r="99" spans="10:11">
      <c r="J99" s="13">
        <v>44043</v>
      </c>
      <c r="K99" s="5">
        <v>0.5282</v>
      </c>
    </row>
    <row r="100" spans="10:11">
      <c r="J100" s="13">
        <v>44012</v>
      </c>
      <c r="K100" s="5">
        <v>0.65610000000000002</v>
      </c>
    </row>
  </sheetData>
  <mergeCells count="1">
    <mergeCell ref="E37:F38"/>
  </mergeCells>
  <phoneticPr fontId="30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38A57-E02C-49C7-A217-DB9DC8386480}">
  <dimension ref="A1:AG94"/>
  <sheetViews>
    <sheetView topLeftCell="A19" zoomScale="85" zoomScaleNormal="85" workbookViewId="0">
      <selection activeCell="K35" sqref="B32:K35"/>
    </sheetView>
  </sheetViews>
  <sheetFormatPr defaultRowHeight="16.2"/>
  <cols>
    <col min="1" max="1" width="31.5546875" customWidth="1"/>
    <col min="2" max="2" width="17.33203125" bestFit="1" customWidth="1"/>
    <col min="3" max="3" width="16.21875" customWidth="1"/>
    <col min="4" max="4" width="17" customWidth="1"/>
    <col min="5" max="5" width="28" customWidth="1"/>
    <col min="6" max="6" width="21.44140625" customWidth="1"/>
    <col min="7" max="7" width="20.44140625" customWidth="1"/>
    <col min="8" max="9" width="15.77734375" customWidth="1"/>
    <col min="10" max="10" width="11.5546875" customWidth="1"/>
    <col min="13" max="13" width="10.6640625" bestFit="1" customWidth="1"/>
    <col min="16" max="16" width="27.21875" customWidth="1"/>
    <col min="17" max="17" width="10" bestFit="1" customWidth="1"/>
    <col min="19" max="19" width="27.109375" customWidth="1"/>
    <col min="20" max="20" width="9.44140625" bestFit="1" customWidth="1"/>
  </cols>
  <sheetData>
    <row r="1" spans="2:33">
      <c r="B1" t="s">
        <v>55</v>
      </c>
      <c r="C1" s="75" t="s">
        <v>53</v>
      </c>
      <c r="E1" t="s">
        <v>0</v>
      </c>
      <c r="F1" t="s">
        <v>8</v>
      </c>
      <c r="H1" s="67" t="s">
        <v>56</v>
      </c>
      <c r="I1" s="67" t="s">
        <v>50</v>
      </c>
    </row>
    <row r="2" spans="2:33">
      <c r="D2" t="s">
        <v>25</v>
      </c>
      <c r="E2">
        <v>100</v>
      </c>
    </row>
    <row r="3" spans="2:33">
      <c r="B3">
        <v>5000</v>
      </c>
      <c r="C3" s="38">
        <v>515058.38</v>
      </c>
      <c r="D3" s="37">
        <v>44749</v>
      </c>
      <c r="E3" s="2">
        <f>C3/B3</f>
        <v>103.01167599999999</v>
      </c>
      <c r="F3" s="1">
        <f>(E3-100)/100</f>
        <v>3.0116759999999944E-2</v>
      </c>
      <c r="G3" s="22">
        <f>F3+1</f>
        <v>1.0301167599999999</v>
      </c>
    </row>
    <row r="4" spans="2:33">
      <c r="B4">
        <v>5000</v>
      </c>
      <c r="C4" s="38">
        <v>526213.68000000005</v>
      </c>
      <c r="D4" s="37">
        <v>44780</v>
      </c>
      <c r="E4" s="2">
        <f t="shared" ref="E4:E29" si="0">C4/B4</f>
        <v>105.24273600000001</v>
      </c>
      <c r="F4" s="1">
        <f>E4/E3-1</f>
        <v>2.1658321528522873E-2</v>
      </c>
      <c r="G4" s="22">
        <f>F4+1</f>
        <v>1.0216583215285229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2:33">
      <c r="B5">
        <v>5000</v>
      </c>
      <c r="C5" s="38">
        <v>499085</v>
      </c>
      <c r="D5" s="54">
        <v>44811</v>
      </c>
      <c r="E5" s="2">
        <f t="shared" si="0"/>
        <v>99.816999999999993</v>
      </c>
      <c r="F5" s="1">
        <f t="shared" ref="F5:F14" si="1">E5/E4-1</f>
        <v>-5.1554493984269034E-2</v>
      </c>
      <c r="G5" s="22">
        <f>F5+1</f>
        <v>0.94844550601573097</v>
      </c>
    </row>
    <row r="6" spans="2:33">
      <c r="B6">
        <v>8000</v>
      </c>
      <c r="C6" s="38">
        <v>784518</v>
      </c>
      <c r="D6" s="37">
        <v>44835</v>
      </c>
      <c r="E6" s="2">
        <f t="shared" si="0"/>
        <v>98.064750000000004</v>
      </c>
      <c r="F6" s="1">
        <f t="shared" si="1"/>
        <v>-1.755462496368343E-2</v>
      </c>
      <c r="G6" s="22">
        <f t="shared" ref="G6:G13" si="2">F6+1</f>
        <v>0.98244537503631657</v>
      </c>
    </row>
    <row r="7" spans="2:33">
      <c r="B7">
        <v>8000</v>
      </c>
      <c r="C7" s="38">
        <v>788818</v>
      </c>
      <c r="D7" s="37">
        <v>44866</v>
      </c>
      <c r="E7" s="2">
        <f t="shared" si="0"/>
        <v>98.602249999999998</v>
      </c>
      <c r="F7" s="1">
        <f t="shared" si="1"/>
        <v>5.4810724546792144E-3</v>
      </c>
      <c r="G7" s="22">
        <f t="shared" si="2"/>
        <v>1.0054810724546792</v>
      </c>
    </row>
    <row r="8" spans="2:33">
      <c r="B8">
        <v>8000</v>
      </c>
      <c r="C8" s="38">
        <v>764376</v>
      </c>
      <c r="D8" s="54">
        <v>44896</v>
      </c>
      <c r="E8" s="2">
        <f t="shared" si="0"/>
        <v>95.546999999999997</v>
      </c>
      <c r="F8" s="1">
        <f t="shared" si="1"/>
        <v>-3.0985601241350968E-2</v>
      </c>
      <c r="G8" s="22">
        <f t="shared" si="2"/>
        <v>0.96901439875864903</v>
      </c>
      <c r="I8" s="1">
        <f>E8/E2-1</f>
        <v>-4.453000000000007E-2</v>
      </c>
    </row>
    <row r="9" spans="2:33">
      <c r="B9">
        <v>8000</v>
      </c>
      <c r="C9" s="38">
        <v>743817</v>
      </c>
      <c r="D9" s="37">
        <v>44927</v>
      </c>
      <c r="E9" s="2">
        <f t="shared" si="0"/>
        <v>92.977125000000001</v>
      </c>
      <c r="F9" s="1">
        <f t="shared" si="1"/>
        <v>-2.6896448868096279E-2</v>
      </c>
      <c r="G9" s="22">
        <f t="shared" si="2"/>
        <v>0.97310355113190372</v>
      </c>
      <c r="I9" s="1"/>
    </row>
    <row r="10" spans="2:33">
      <c r="B10">
        <v>8000</v>
      </c>
      <c r="C10" s="38">
        <v>689680</v>
      </c>
      <c r="D10" s="37">
        <v>44958</v>
      </c>
      <c r="E10" s="2">
        <f t="shared" si="0"/>
        <v>86.21</v>
      </c>
      <c r="F10" s="1">
        <f t="shared" si="1"/>
        <v>-7.2782687139444358E-2</v>
      </c>
      <c r="G10" s="22">
        <f t="shared" si="2"/>
        <v>0.92721731286055564</v>
      </c>
      <c r="I10" s="1"/>
    </row>
    <row r="11" spans="2:33">
      <c r="B11">
        <v>8000</v>
      </c>
      <c r="C11" s="38">
        <v>671320</v>
      </c>
      <c r="D11" s="54">
        <v>44986</v>
      </c>
      <c r="E11" s="2">
        <f t="shared" si="0"/>
        <v>83.915000000000006</v>
      </c>
      <c r="F11" s="1">
        <f t="shared" si="1"/>
        <v>-2.6621041642500676E-2</v>
      </c>
      <c r="G11" s="22">
        <f t="shared" si="2"/>
        <v>0.97337895835749932</v>
      </c>
      <c r="H11" s="1">
        <f>E11/E8-1</f>
        <v>-0.12174113263629405</v>
      </c>
      <c r="I11" s="1"/>
    </row>
    <row r="12" spans="2:33">
      <c r="B12">
        <v>8000</v>
      </c>
      <c r="C12" s="38">
        <v>629655</v>
      </c>
      <c r="D12" s="58">
        <v>45017</v>
      </c>
      <c r="E12" s="2">
        <f t="shared" si="0"/>
        <v>78.706874999999997</v>
      </c>
      <c r="F12" s="1">
        <f t="shared" si="1"/>
        <v>-6.2064291247095338E-2</v>
      </c>
      <c r="G12" s="22">
        <f t="shared" si="2"/>
        <v>0.93793570875290466</v>
      </c>
      <c r="H12" s="1"/>
      <c r="I12" s="1"/>
    </row>
    <row r="13" spans="2:33">
      <c r="B13">
        <v>8000</v>
      </c>
      <c r="C13" s="38">
        <v>615713</v>
      </c>
      <c r="D13" s="37">
        <v>45047</v>
      </c>
      <c r="E13" s="2">
        <f t="shared" si="0"/>
        <v>76.964124999999996</v>
      </c>
      <c r="F13" s="1">
        <f t="shared" si="1"/>
        <v>-2.2142284266780998E-2</v>
      </c>
      <c r="G13" s="22">
        <f t="shared" si="2"/>
        <v>0.977857715733219</v>
      </c>
      <c r="H13" s="1"/>
      <c r="I13" s="1"/>
    </row>
    <row r="14" spans="2:33">
      <c r="B14">
        <v>8000</v>
      </c>
      <c r="C14" s="38">
        <v>638413</v>
      </c>
      <c r="D14" s="59">
        <v>45078</v>
      </c>
      <c r="E14" s="2">
        <f t="shared" si="0"/>
        <v>79.801625000000001</v>
      </c>
      <c r="F14" s="1">
        <f t="shared" si="1"/>
        <v>3.6867826406134174E-2</v>
      </c>
      <c r="G14" s="22">
        <f>F14+1</f>
        <v>1.0368678264061342</v>
      </c>
      <c r="H14" s="1">
        <f>E14/E11-1</f>
        <v>-4.9018351903712176E-2</v>
      </c>
      <c r="I14" s="1">
        <f>E14/E8-1</f>
        <v>-0.1647919348592839</v>
      </c>
    </row>
    <row r="15" spans="2:33">
      <c r="B15">
        <v>8000</v>
      </c>
      <c r="C15" s="38">
        <v>696245</v>
      </c>
      <c r="D15" s="58">
        <v>45108</v>
      </c>
      <c r="E15" s="2">
        <f t="shared" si="0"/>
        <v>87.030625000000001</v>
      </c>
      <c r="F15" s="1">
        <f>E15/E14-1</f>
        <v>9.0587127768388065E-2</v>
      </c>
      <c r="G15" s="22">
        <f t="shared" ref="G15:G16" si="3">F15+1</f>
        <v>1.0905871277683881</v>
      </c>
      <c r="H15" s="1"/>
      <c r="I15" s="1"/>
    </row>
    <row r="16" spans="2:33">
      <c r="B16">
        <v>8000</v>
      </c>
      <c r="C16" s="38">
        <v>645317</v>
      </c>
      <c r="D16" s="37">
        <v>45139</v>
      </c>
      <c r="E16" s="2">
        <f t="shared" si="0"/>
        <v>80.664625000000001</v>
      </c>
      <c r="F16" s="1">
        <f t="shared" ref="F16" si="4">E16/E15-1</f>
        <v>-7.3146665326142335E-2</v>
      </c>
      <c r="G16" s="22">
        <f t="shared" si="3"/>
        <v>0.92685333467385767</v>
      </c>
      <c r="H16" s="1"/>
      <c r="I16" s="1"/>
    </row>
    <row r="17" spans="1:9">
      <c r="B17">
        <v>8000</v>
      </c>
      <c r="C17" s="38">
        <v>609314</v>
      </c>
      <c r="D17" s="59">
        <v>45170</v>
      </c>
      <c r="E17" s="2">
        <f t="shared" si="0"/>
        <v>76.164249999999996</v>
      </c>
      <c r="F17" s="1">
        <f>E17/E16-1</f>
        <v>-5.5791184797549187E-2</v>
      </c>
      <c r="G17" s="22">
        <f>F17+1</f>
        <v>0.94420881520245081</v>
      </c>
      <c r="H17" s="1">
        <f>E17/E14-1</f>
        <v>-4.5580212182396052E-2</v>
      </c>
      <c r="I17" s="1">
        <f>E17/E8-1</f>
        <v>-0.20286089568484622</v>
      </c>
    </row>
    <row r="18" spans="1:9">
      <c r="B18">
        <v>8000</v>
      </c>
      <c r="C18" s="38">
        <v>585753</v>
      </c>
      <c r="D18" s="58">
        <v>45200</v>
      </c>
      <c r="E18" s="2">
        <f t="shared" si="0"/>
        <v>73.219125000000005</v>
      </c>
      <c r="F18" s="1">
        <f t="shared" ref="F18:F23" si="5">E18/E17-1</f>
        <v>-3.8668075901751697E-2</v>
      </c>
      <c r="G18" s="22">
        <f t="shared" ref="G18:G25" si="6">F18+1</f>
        <v>0.9613319240982483</v>
      </c>
      <c r="H18" s="1"/>
      <c r="I18" s="1"/>
    </row>
    <row r="19" spans="1:9">
      <c r="B19">
        <v>8000</v>
      </c>
      <c r="C19" s="38">
        <v>545974</v>
      </c>
      <c r="D19" s="37">
        <v>45231</v>
      </c>
      <c r="E19" s="2">
        <f t="shared" si="0"/>
        <v>68.246750000000006</v>
      </c>
      <c r="F19" s="1">
        <f t="shared" si="5"/>
        <v>-6.7910877110317847E-2</v>
      </c>
      <c r="G19" s="22">
        <f t="shared" si="6"/>
        <v>0.93208912288968215</v>
      </c>
      <c r="H19" s="1"/>
      <c r="I19" s="1"/>
    </row>
    <row r="20" spans="1:9">
      <c r="B20">
        <v>8000</v>
      </c>
      <c r="C20" s="38">
        <v>630785</v>
      </c>
      <c r="D20" s="59">
        <v>45261</v>
      </c>
      <c r="E20" s="2">
        <f t="shared" si="0"/>
        <v>78.848124999999996</v>
      </c>
      <c r="F20" s="1">
        <f t="shared" si="5"/>
        <v>0.15533889892192643</v>
      </c>
      <c r="G20" s="22">
        <f t="shared" si="6"/>
        <v>1.1553388989219264</v>
      </c>
      <c r="H20" s="1">
        <f>E20/E17-1</f>
        <v>3.5237988951509314E-2</v>
      </c>
      <c r="I20" s="1">
        <f>E20/E8-1</f>
        <v>-0.17477131673417268</v>
      </c>
    </row>
    <row r="21" spans="1:9">
      <c r="B21">
        <v>8000</v>
      </c>
      <c r="C21" s="38">
        <v>606777</v>
      </c>
      <c r="D21" s="58">
        <v>45292</v>
      </c>
      <c r="E21" s="2">
        <f t="shared" si="0"/>
        <v>75.847125000000005</v>
      </c>
      <c r="F21" s="1">
        <f t="shared" si="5"/>
        <v>-3.8060511901836458E-2</v>
      </c>
      <c r="G21" s="22">
        <f t="shared" si="6"/>
        <v>0.96193948809816354</v>
      </c>
      <c r="H21" s="1"/>
      <c r="I21" s="1"/>
    </row>
    <row r="22" spans="1:9">
      <c r="B22">
        <v>8000</v>
      </c>
      <c r="C22" s="38">
        <v>811963</v>
      </c>
      <c r="D22" s="37">
        <v>45323</v>
      </c>
      <c r="E22" s="2">
        <f t="shared" si="0"/>
        <v>101.495375</v>
      </c>
      <c r="F22" s="1">
        <f t="shared" si="5"/>
        <v>0.33815718130383954</v>
      </c>
      <c r="G22" s="22">
        <f t="shared" si="6"/>
        <v>1.3381571813038395</v>
      </c>
      <c r="H22" s="1"/>
      <c r="I22" s="1"/>
    </row>
    <row r="23" spans="1:9">
      <c r="B23">
        <v>8000</v>
      </c>
      <c r="C23" s="38">
        <v>610304</v>
      </c>
      <c r="D23" s="59">
        <v>45352</v>
      </c>
      <c r="E23" s="2">
        <f t="shared" si="0"/>
        <v>76.287999999999997</v>
      </c>
      <c r="F23" s="1">
        <f t="shared" si="5"/>
        <v>-0.24835983905670578</v>
      </c>
      <c r="G23" s="22">
        <f t="shared" si="6"/>
        <v>0.75164016094329422</v>
      </c>
      <c r="H23" s="1">
        <f>E23/E20-1</f>
        <v>-3.2469066322122431E-2</v>
      </c>
      <c r="I23" s="1">
        <f>E23/E20-1</f>
        <v>-3.2469066322122431E-2</v>
      </c>
    </row>
    <row r="24" spans="1:9">
      <c r="B24">
        <v>8000</v>
      </c>
      <c r="C24" s="68">
        <v>571946</v>
      </c>
      <c r="D24" s="58">
        <v>45383</v>
      </c>
      <c r="E24" s="2">
        <f t="shared" si="0"/>
        <v>71.493250000000003</v>
      </c>
      <c r="F24" s="1">
        <f t="shared" ref="F24:F29" si="7">E24/E23-1</f>
        <v>-6.2850644924496546E-2</v>
      </c>
      <c r="G24" s="22">
        <f t="shared" si="6"/>
        <v>0.93714935507550345</v>
      </c>
      <c r="H24" s="1"/>
      <c r="I24" s="1"/>
    </row>
    <row r="25" spans="1:9">
      <c r="B25">
        <v>8000</v>
      </c>
      <c r="C25" s="38">
        <v>619522</v>
      </c>
      <c r="D25" s="37">
        <v>45413</v>
      </c>
      <c r="E25" s="2">
        <f t="shared" si="0"/>
        <v>77.440250000000006</v>
      </c>
      <c r="F25" s="1">
        <f t="shared" si="7"/>
        <v>8.3182678084994022E-2</v>
      </c>
      <c r="G25" s="22">
        <f t="shared" si="6"/>
        <v>1.083182678084994</v>
      </c>
      <c r="H25" s="1"/>
      <c r="I25" s="1"/>
    </row>
    <row r="26" spans="1:9">
      <c r="A26" s="70"/>
      <c r="B26">
        <v>8000</v>
      </c>
      <c r="C26" s="38">
        <v>543102</v>
      </c>
      <c r="D26" s="59">
        <v>45444</v>
      </c>
      <c r="E26" s="2">
        <f t="shared" si="0"/>
        <v>67.887749999999997</v>
      </c>
      <c r="F26" s="1">
        <f t="shared" si="7"/>
        <v>-0.12335316582784805</v>
      </c>
      <c r="G26" s="22">
        <f>F26+1</f>
        <v>0.87664683417215195</v>
      </c>
      <c r="H26" s="1">
        <f>E26/E23-1</f>
        <v>-0.11011233745805371</v>
      </c>
      <c r="I26" s="1">
        <f>E26/$E$20-1</f>
        <v>-0.13900615899236668</v>
      </c>
    </row>
    <row r="27" spans="1:9">
      <c r="A27" s="70"/>
      <c r="B27">
        <v>8000</v>
      </c>
      <c r="C27" s="38">
        <v>546043</v>
      </c>
      <c r="D27" s="58">
        <v>45474</v>
      </c>
      <c r="E27" s="2">
        <f t="shared" si="0"/>
        <v>68.255375000000001</v>
      </c>
      <c r="F27" s="1">
        <f t="shared" si="7"/>
        <v>5.4151890436788808E-3</v>
      </c>
      <c r="G27" s="22">
        <f>F27+1</f>
        <v>1.0054151890436789</v>
      </c>
      <c r="H27" s="1"/>
      <c r="I27" s="1"/>
    </row>
    <row r="28" spans="1:9">
      <c r="A28" s="70" t="s">
        <v>54</v>
      </c>
      <c r="B28">
        <v>7840</v>
      </c>
      <c r="C28" s="38">
        <f>461939.66</f>
        <v>461939.66</v>
      </c>
      <c r="D28" s="37">
        <v>45505</v>
      </c>
      <c r="E28" s="2">
        <f t="shared" si="0"/>
        <v>58.920874999999995</v>
      </c>
      <c r="F28" s="1">
        <f t="shared" si="7"/>
        <v>-0.13675846041428985</v>
      </c>
      <c r="G28" s="22">
        <f>F28+1</f>
        <v>0.86324153958571015</v>
      </c>
      <c r="H28" s="1"/>
      <c r="I28" s="1"/>
    </row>
    <row r="29" spans="1:9">
      <c r="A29" s="70"/>
      <c r="B29">
        <v>7683.2</v>
      </c>
      <c r="C29" s="38">
        <f>425921.08</f>
        <v>425921.08</v>
      </c>
      <c r="D29" s="76">
        <v>45536</v>
      </c>
      <c r="E29" s="2">
        <f t="shared" si="0"/>
        <v>55.435375885047897</v>
      </c>
      <c r="F29" s="1">
        <f t="shared" si="7"/>
        <v>-5.9155589847436851E-2</v>
      </c>
      <c r="G29" s="22">
        <f>F29+1</f>
        <v>0.94084441015256315</v>
      </c>
      <c r="H29" s="1">
        <f>E29/E26-1</f>
        <v>-0.18342593641639471</v>
      </c>
      <c r="I29" s="1">
        <f>E29/$E$20-1</f>
        <v>-0.29693476052794032</v>
      </c>
    </row>
    <row r="30" spans="1:9">
      <c r="A30" s="70"/>
      <c r="C30" s="38"/>
      <c r="D30" s="37"/>
      <c r="E30" s="2"/>
      <c r="F30" s="1"/>
      <c r="G30" s="22"/>
      <c r="H30" s="1"/>
      <c r="I30" s="1"/>
    </row>
    <row r="31" spans="1:9">
      <c r="A31" s="70"/>
      <c r="C31" s="38"/>
      <c r="D31" s="37"/>
      <c r="E31" s="2"/>
      <c r="F31" s="1"/>
      <c r="G31" s="22"/>
      <c r="H31" s="1"/>
      <c r="I31" s="1"/>
    </row>
    <row r="32" spans="1:9">
      <c r="C32" s="38"/>
      <c r="D32" s="76"/>
      <c r="E32" s="2"/>
      <c r="F32" s="1"/>
      <c r="G32" s="22"/>
      <c r="H32" s="1"/>
      <c r="I32" s="1"/>
    </row>
    <row r="33" spans="3:19" ht="16.8" thickBot="1">
      <c r="C33" s="38"/>
      <c r="D33" s="37"/>
      <c r="F33" s="27"/>
      <c r="I33" s="1"/>
    </row>
    <row r="34" spans="3:19">
      <c r="C34" s="38"/>
      <c r="E34" s="82" t="s">
        <v>4</v>
      </c>
      <c r="F34" s="83"/>
    </row>
    <row r="35" spans="3:19">
      <c r="C35" s="38"/>
      <c r="E35" s="84"/>
      <c r="F35" s="85"/>
      <c r="H35" s="1"/>
    </row>
    <row r="36" spans="3:19">
      <c r="C36" s="38"/>
      <c r="E36" s="14" t="s">
        <v>6</v>
      </c>
      <c r="F36" s="23">
        <v>44749</v>
      </c>
      <c r="H36" s="66"/>
    </row>
    <row r="37" spans="3:19">
      <c r="C37" s="38"/>
      <c r="E37" s="14" t="s">
        <v>7</v>
      </c>
      <c r="F37" s="23">
        <v>45565</v>
      </c>
      <c r="H37" s="66"/>
    </row>
    <row r="38" spans="3:19">
      <c r="C38" s="38"/>
      <c r="E38" s="61" t="s">
        <v>1</v>
      </c>
      <c r="F38" s="4">
        <f>(E29-100)/100</f>
        <v>-0.44564624114952101</v>
      </c>
      <c r="G38" s="64" t="str">
        <f ca="1">_xlfn.FORMULATEXT(F38)</f>
        <v>=(E29-100)/100</v>
      </c>
      <c r="P38" s="12"/>
      <c r="Q38" s="19"/>
      <c r="S38" s="29"/>
    </row>
    <row r="39" spans="3:19">
      <c r="E39" s="62" t="s">
        <v>2</v>
      </c>
      <c r="F39" s="4">
        <f>(E29-E20)/E20</f>
        <v>-0.29693476052794027</v>
      </c>
      <c r="G39" s="64" t="str">
        <f t="shared" ref="G39:G53" ca="1" si="8">_xlfn.FORMULATEXT(F39)</f>
        <v>=(E29-E20)/E20</v>
      </c>
      <c r="P39" s="12"/>
      <c r="Q39" s="19"/>
    </row>
    <row r="40" spans="3:19">
      <c r="E40" s="62" t="s">
        <v>36</v>
      </c>
      <c r="F40" s="4">
        <f>STDEVA(F3:F29)</f>
        <v>0.10433667453635036</v>
      </c>
      <c r="G40" s="64" t="str">
        <f t="shared" ca="1" si="8"/>
        <v>=STDEVA(F3:F29)</v>
      </c>
      <c r="J40" s="73" t="s">
        <v>9</v>
      </c>
      <c r="K40" t="s">
        <v>42</v>
      </c>
      <c r="P40" s="30" t="s">
        <v>32</v>
      </c>
      <c r="Q40" s="47">
        <f>F38</f>
        <v>-0.44564624114952101</v>
      </c>
    </row>
    <row r="41" spans="3:19">
      <c r="E41" s="62" t="s">
        <v>35</v>
      </c>
      <c r="F41" s="4">
        <f>STDEVA(F18:F29)</f>
        <v>0.15163685439471944</v>
      </c>
      <c r="G41" s="64" t="str">
        <f t="shared" ca="1" si="8"/>
        <v>=STDEVA(F18:F29)</v>
      </c>
      <c r="J41" s="73">
        <f>AVERAGE(K43:K54)</f>
        <v>4.2322833333333332</v>
      </c>
      <c r="M41" s="13"/>
      <c r="P41" s="29" t="s">
        <v>33</v>
      </c>
      <c r="Q41" s="47">
        <f>F39</f>
        <v>-0.29693476052794027</v>
      </c>
    </row>
    <row r="42" spans="3:19">
      <c r="C42" s="6"/>
      <c r="E42" s="62" t="s">
        <v>13</v>
      </c>
      <c r="F42" s="7">
        <f>F37-F36</f>
        <v>816</v>
      </c>
      <c r="G42" t="str">
        <f ca="1">_xlfn.FORMULATEXT(F42)</f>
        <v>=F37-F36</v>
      </c>
      <c r="J42" s="5" t="s">
        <v>10</v>
      </c>
      <c r="K42" s="65" t="s">
        <v>48</v>
      </c>
      <c r="L42" s="5"/>
      <c r="M42" s="13"/>
      <c r="P42" s="30" t="s">
        <v>20</v>
      </c>
      <c r="Q42" s="47">
        <f>F43</f>
        <v>-0.23064362977775599</v>
      </c>
    </row>
    <row r="43" spans="3:19">
      <c r="E43" s="62" t="s">
        <v>12</v>
      </c>
      <c r="F43" s="4">
        <f>(PRODUCT(G3:G29))^(12/COUNT(G3:G29))-1</f>
        <v>-0.23064362977775599</v>
      </c>
      <c r="G43" s="64" t="str">
        <f t="shared" ca="1" si="8"/>
        <v>=(PRODUCT(G3:G29))^(12/COUNT(G3:G29))-1</v>
      </c>
      <c r="J43" s="13">
        <v>45565</v>
      </c>
      <c r="K43" s="65">
        <v>3.7808999999999999</v>
      </c>
      <c r="L43" s="5"/>
      <c r="M43" s="13"/>
      <c r="P43" s="29" t="s">
        <v>45</v>
      </c>
      <c r="Q43" s="48">
        <f>F52</f>
        <v>0.33333333333333331</v>
      </c>
    </row>
    <row r="44" spans="3:19">
      <c r="E44" s="62" t="s">
        <v>47</v>
      </c>
      <c r="F44" s="8">
        <f>MAX(F3:F29)</f>
        <v>0.33815718130383954</v>
      </c>
      <c r="G44" s="64" t="str">
        <f t="shared" ca="1" si="8"/>
        <v>=MAX(F3:F29)</v>
      </c>
      <c r="J44" s="13">
        <v>45534</v>
      </c>
      <c r="K44">
        <v>3.9034</v>
      </c>
      <c r="M44" s="13"/>
      <c r="P44" s="30" t="s">
        <v>43</v>
      </c>
      <c r="Q44" s="48">
        <f>F53</f>
        <v>0.66666666666666663</v>
      </c>
    </row>
    <row r="45" spans="3:19">
      <c r="E45" s="62" t="s">
        <v>44</v>
      </c>
      <c r="F45" s="8">
        <f>MIN(F3:F29)</f>
        <v>-0.24835983905670578</v>
      </c>
      <c r="G45" s="64" t="str">
        <f t="shared" ca="1" si="8"/>
        <v>=MIN(F3:F29)</v>
      </c>
      <c r="J45" s="13">
        <v>45504</v>
      </c>
      <c r="K45">
        <v>4.0296000000000003</v>
      </c>
      <c r="M45" s="13"/>
      <c r="P45" s="29" t="s">
        <v>21</v>
      </c>
      <c r="Q45" s="47">
        <f>F46</f>
        <v>0.36143284277947346</v>
      </c>
    </row>
    <row r="46" spans="3:19">
      <c r="E46" s="62" t="s">
        <v>17</v>
      </c>
      <c r="F46" s="4">
        <f>F40*SQRT(12)</f>
        <v>0.36143284277947346</v>
      </c>
      <c r="G46" t="str">
        <f ca="1">_xlfn.FORMULATEXT(F46)</f>
        <v>=F40*SQRT(12)</v>
      </c>
      <c r="J46" s="13">
        <v>45471</v>
      </c>
      <c r="K46">
        <v>4.3960999999999997</v>
      </c>
      <c r="M46" s="13"/>
      <c r="P46" s="30" t="s">
        <v>22</v>
      </c>
      <c r="Q46" s="49">
        <f>F49</f>
        <v>-0.75523425323480775</v>
      </c>
    </row>
    <row r="47" spans="3:19">
      <c r="E47" s="62" t="s">
        <v>18</v>
      </c>
      <c r="F47" s="4">
        <f>F41*SQRT(12)</f>
        <v>0.52528547222315614</v>
      </c>
      <c r="G47" t="str">
        <f t="shared" ca="1" si="8"/>
        <v>=F41*SQRT(12)</v>
      </c>
      <c r="J47" s="13">
        <v>45443</v>
      </c>
      <c r="K47">
        <v>4.4984999999999999</v>
      </c>
      <c r="L47" s="5"/>
      <c r="M47" s="13"/>
      <c r="P47" s="29"/>
      <c r="Q47" s="35"/>
    </row>
    <row r="48" spans="3:19">
      <c r="E48" s="71" t="s">
        <v>5</v>
      </c>
      <c r="F48" s="74">
        <f>J41/100</f>
        <v>4.232283333333333E-2</v>
      </c>
      <c r="G48" t="str">
        <f t="shared" ca="1" si="8"/>
        <v>=J41/100</v>
      </c>
      <c r="J48" s="13">
        <v>45412</v>
      </c>
      <c r="K48">
        <v>4.6798000000000002</v>
      </c>
      <c r="L48" s="5"/>
      <c r="M48" s="13"/>
      <c r="Q48" s="46"/>
    </row>
    <row r="49" spans="5:17">
      <c r="E49" s="71" t="s">
        <v>3</v>
      </c>
      <c r="F49" s="72">
        <f>(F43-F48)/F46</f>
        <v>-0.75523425323480775</v>
      </c>
      <c r="G49" t="str">
        <f t="shared" ca="1" si="8"/>
        <v>=(F43-F48)/F46</v>
      </c>
      <c r="J49" s="13">
        <v>45380</v>
      </c>
      <c r="K49">
        <v>4.2003000000000004</v>
      </c>
      <c r="L49" s="5"/>
      <c r="M49" s="13"/>
      <c r="P49" s="12"/>
      <c r="Q49" s="19"/>
    </row>
    <row r="50" spans="5:17">
      <c r="E50" s="62" t="s">
        <v>19</v>
      </c>
      <c r="F50" s="4">
        <f>E24/E22-1</f>
        <v>-0.2956009079231442</v>
      </c>
      <c r="G50" s="64" t="str">
        <f t="shared" ca="1" si="8"/>
        <v>=E24/E22-1</v>
      </c>
      <c r="J50" s="13">
        <v>45351</v>
      </c>
      <c r="K50">
        <v>4.2502000000000004</v>
      </c>
      <c r="L50" s="5"/>
      <c r="M50" s="13"/>
    </row>
    <row r="51" spans="5:17">
      <c r="E51" s="62" t="s">
        <v>14</v>
      </c>
      <c r="F51" s="7">
        <f>COUNT(F3:F29)</f>
        <v>27</v>
      </c>
      <c r="G51" s="64" t="str">
        <f t="shared" ca="1" si="8"/>
        <v>=COUNT(F3:F29)</v>
      </c>
      <c r="J51" s="13">
        <v>45322</v>
      </c>
      <c r="K51">
        <v>3.9123999999999999</v>
      </c>
      <c r="L51" s="5"/>
      <c r="M51" s="13"/>
    </row>
    <row r="52" spans="5:17">
      <c r="E52" s="62" t="s">
        <v>15</v>
      </c>
      <c r="F52" s="51">
        <f>COUNTIF(F3:F29,"&gt;0")/F51</f>
        <v>0.33333333333333331</v>
      </c>
      <c r="G52" s="64" t="str">
        <f t="shared" ca="1" si="8"/>
        <v>=COUNTIF(F3:F29,"&gt;0")/F51</v>
      </c>
      <c r="J52" s="13">
        <v>45289</v>
      </c>
      <c r="K52">
        <v>3.8791000000000002</v>
      </c>
      <c r="L52" s="5"/>
      <c r="M52" s="13"/>
    </row>
    <row r="53" spans="5:17" ht="16.8" thickBot="1">
      <c r="E53" s="63" t="s">
        <v>16</v>
      </c>
      <c r="F53" s="53">
        <f>COUNTIF(F3:F29,"&lt;0")/F51</f>
        <v>0.66666666666666663</v>
      </c>
      <c r="G53" s="64" t="str">
        <f t="shared" ca="1" si="8"/>
        <v>=COUNTIF(F3:F29,"&lt;0")/F51</v>
      </c>
      <c r="J53" s="13">
        <v>45260</v>
      </c>
      <c r="K53">
        <v>4.3263999999999996</v>
      </c>
      <c r="L53" s="5"/>
      <c r="M53" s="13"/>
    </row>
    <row r="54" spans="5:17">
      <c r="J54" s="13">
        <v>45230</v>
      </c>
      <c r="K54">
        <v>4.9306999999999999</v>
      </c>
      <c r="L54" s="5"/>
      <c r="M54" s="13"/>
    </row>
    <row r="55" spans="5:17">
      <c r="J55" s="13">
        <v>45198</v>
      </c>
      <c r="K55">
        <v>4.5711000000000004</v>
      </c>
      <c r="L55" s="5"/>
      <c r="M55" s="13"/>
    </row>
    <row r="56" spans="5:17">
      <c r="J56" s="13">
        <v>45169</v>
      </c>
      <c r="K56">
        <v>4.1081000000000003</v>
      </c>
      <c r="L56" s="5"/>
      <c r="M56" s="13"/>
    </row>
    <row r="57" spans="5:17">
      <c r="J57" s="13">
        <v>45138</v>
      </c>
      <c r="K57">
        <v>3.9588000000000001</v>
      </c>
      <c r="L57" s="5"/>
      <c r="M57" s="13"/>
    </row>
    <row r="58" spans="5:17">
      <c r="J58" s="13">
        <v>45107</v>
      </c>
      <c r="K58">
        <v>3.8367</v>
      </c>
      <c r="L58" s="5"/>
      <c r="M58" s="13"/>
    </row>
    <row r="59" spans="5:17">
      <c r="J59" s="13">
        <v>45077</v>
      </c>
      <c r="K59">
        <v>3.6425999999999998</v>
      </c>
      <c r="M59" s="13"/>
    </row>
    <row r="60" spans="5:17">
      <c r="J60" s="13">
        <v>45044</v>
      </c>
      <c r="K60">
        <v>3.4220000000000002</v>
      </c>
      <c r="M60" s="13"/>
    </row>
    <row r="61" spans="5:17">
      <c r="J61" s="13">
        <v>45016</v>
      </c>
      <c r="K61" s="5">
        <v>3.4676</v>
      </c>
      <c r="M61" s="13"/>
    </row>
    <row r="62" spans="5:17">
      <c r="J62" s="13">
        <v>44985</v>
      </c>
      <c r="K62" s="5">
        <v>3.92</v>
      </c>
      <c r="M62" s="13"/>
    </row>
    <row r="63" spans="5:17">
      <c r="J63" s="13">
        <v>44957</v>
      </c>
      <c r="K63" s="5">
        <v>3.5068999999999999</v>
      </c>
      <c r="M63" s="13"/>
    </row>
    <row r="64" spans="5:17">
      <c r="J64" s="13">
        <v>44925</v>
      </c>
      <c r="K64" s="5">
        <v>3.8748</v>
      </c>
      <c r="M64" s="13"/>
    </row>
    <row r="65" spans="10:11">
      <c r="J65" s="13">
        <v>44895</v>
      </c>
      <c r="K65" s="5">
        <v>3.6053999999999999</v>
      </c>
    </row>
    <row r="66" spans="10:11">
      <c r="J66" s="25">
        <v>44865</v>
      </c>
      <c r="K66" s="5">
        <v>4.0477999999999996</v>
      </c>
    </row>
    <row r="67" spans="10:11">
      <c r="J67" s="13">
        <v>44834</v>
      </c>
      <c r="K67" s="5">
        <v>3.8285999999999998</v>
      </c>
    </row>
    <row r="68" spans="10:11">
      <c r="J68" s="13">
        <v>44804</v>
      </c>
      <c r="K68" s="5">
        <v>3.1926000000000001</v>
      </c>
    </row>
    <row r="69" spans="10:11">
      <c r="J69" s="13">
        <v>44772</v>
      </c>
      <c r="K69" s="5">
        <v>2.6486999999999998</v>
      </c>
    </row>
    <row r="70" spans="10:11">
      <c r="J70" s="13">
        <v>44742</v>
      </c>
      <c r="K70" s="5">
        <v>3.0129000000000001</v>
      </c>
    </row>
    <row r="71" spans="10:11">
      <c r="J71" s="13">
        <v>44711</v>
      </c>
      <c r="K71" s="5">
        <v>2.8441000000000001</v>
      </c>
    </row>
    <row r="72" spans="10:11">
      <c r="J72" s="13">
        <v>44680</v>
      </c>
      <c r="K72" s="5">
        <v>2.9336000000000002</v>
      </c>
    </row>
    <row r="73" spans="10:11">
      <c r="J73" s="13">
        <v>44651</v>
      </c>
      <c r="K73" s="5">
        <v>2.3433999999999999</v>
      </c>
    </row>
    <row r="74" spans="10:11">
      <c r="J74" s="13">
        <v>44620</v>
      </c>
      <c r="K74" s="5">
        <v>1.825</v>
      </c>
    </row>
    <row r="75" spans="10:11">
      <c r="J75" s="13">
        <v>44592</v>
      </c>
      <c r="K75" s="5">
        <v>1.7766999999999999</v>
      </c>
    </row>
    <row r="76" spans="10:11">
      <c r="J76" s="13">
        <v>44561</v>
      </c>
      <c r="K76" s="5">
        <v>1.5101</v>
      </c>
    </row>
    <row r="77" spans="10:11">
      <c r="J77" s="13">
        <v>44530</v>
      </c>
      <c r="K77" s="5">
        <v>1.4442999999999999</v>
      </c>
    </row>
    <row r="78" spans="10:11">
      <c r="J78" s="13">
        <v>44498</v>
      </c>
      <c r="K78" s="5">
        <v>1.5521</v>
      </c>
    </row>
    <row r="79" spans="10:11">
      <c r="J79" s="13" t="s">
        <v>24</v>
      </c>
      <c r="K79" s="5">
        <v>1.4873000000000001</v>
      </c>
    </row>
    <row r="80" spans="10:11">
      <c r="J80" s="13">
        <v>44439</v>
      </c>
      <c r="K80" s="5">
        <v>1.3088</v>
      </c>
    </row>
    <row r="81" spans="10:11">
      <c r="J81" s="13">
        <v>44408</v>
      </c>
      <c r="K81" s="5">
        <v>1.2222999999999999</v>
      </c>
    </row>
    <row r="82" spans="10:11">
      <c r="J82" s="13">
        <v>44377</v>
      </c>
      <c r="K82" s="5">
        <v>1.468</v>
      </c>
    </row>
    <row r="83" spans="10:11">
      <c r="J83" s="13">
        <v>44347</v>
      </c>
      <c r="K83" s="5">
        <v>1.5943000000000001</v>
      </c>
    </row>
    <row r="84" spans="10:11">
      <c r="J84" s="13">
        <v>44316</v>
      </c>
      <c r="K84" s="5">
        <v>1.6259000000000001</v>
      </c>
    </row>
    <row r="85" spans="10:11">
      <c r="J85" s="13">
        <v>44286</v>
      </c>
      <c r="K85" s="5">
        <v>1.7403999999999999</v>
      </c>
    </row>
    <row r="86" spans="10:11">
      <c r="J86" s="13">
        <v>44253</v>
      </c>
      <c r="K86" s="5">
        <v>1.4049</v>
      </c>
    </row>
    <row r="87" spans="10:11">
      <c r="J87" s="13">
        <v>44225</v>
      </c>
      <c r="K87" s="5">
        <v>1.0655000000000001</v>
      </c>
    </row>
    <row r="88" spans="10:11">
      <c r="J88" s="13">
        <v>44196</v>
      </c>
      <c r="K88" s="5">
        <v>0.91320000000000001</v>
      </c>
    </row>
    <row r="89" spans="10:11">
      <c r="J89" s="13">
        <v>44165</v>
      </c>
      <c r="K89" s="5">
        <v>0.83889999999999998</v>
      </c>
    </row>
    <row r="90" spans="10:11">
      <c r="J90" s="13">
        <v>44134</v>
      </c>
      <c r="K90" s="5">
        <v>0.87370000000000003</v>
      </c>
    </row>
    <row r="91" spans="10:11">
      <c r="J91" s="13">
        <v>44104</v>
      </c>
      <c r="K91" s="5">
        <v>0.68400000000000005</v>
      </c>
    </row>
    <row r="92" spans="10:11">
      <c r="J92" s="13">
        <v>44074</v>
      </c>
      <c r="K92" s="5">
        <v>0.70479999999999998</v>
      </c>
    </row>
    <row r="93" spans="10:11">
      <c r="J93" s="13">
        <v>44043</v>
      </c>
      <c r="K93" s="5">
        <v>0.5282</v>
      </c>
    </row>
    <row r="94" spans="10:11">
      <c r="J94" s="13">
        <v>44012</v>
      </c>
      <c r="K94" s="5">
        <v>0.65610000000000002</v>
      </c>
    </row>
  </sheetData>
  <mergeCells count="1">
    <mergeCell ref="E34:F35"/>
  </mergeCells>
  <phoneticPr fontId="30" type="noConversion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36468-D537-47A2-8660-C5653BDF0799}">
  <dimension ref="A1:AF86"/>
  <sheetViews>
    <sheetView topLeftCell="B1" zoomScale="70" zoomScaleNormal="70" workbookViewId="0">
      <selection activeCell="P46" sqref="P46"/>
    </sheetView>
  </sheetViews>
  <sheetFormatPr defaultRowHeight="16.2"/>
  <cols>
    <col min="1" max="1" width="31.5546875" customWidth="1"/>
    <col min="2" max="2" width="16.21875" customWidth="1"/>
    <col min="3" max="3" width="17" customWidth="1"/>
    <col min="4" max="4" width="28" customWidth="1"/>
    <col min="5" max="5" width="21.44140625" customWidth="1"/>
    <col min="6" max="6" width="20.44140625" customWidth="1"/>
    <col min="7" max="7" width="8.5546875" bestFit="1" customWidth="1"/>
    <col min="9" max="9" width="11.5546875" customWidth="1"/>
    <col min="15" max="15" width="27.21875" customWidth="1"/>
    <col min="16" max="16" width="10" bestFit="1" customWidth="1"/>
    <col min="18" max="18" width="27.109375" customWidth="1"/>
    <col min="19" max="19" width="9.44140625" bestFit="1" customWidth="1"/>
  </cols>
  <sheetData>
    <row r="1" spans="2:32">
      <c r="B1" t="s">
        <v>39</v>
      </c>
      <c r="D1" t="s">
        <v>0</v>
      </c>
      <c r="E1" t="s">
        <v>8</v>
      </c>
      <c r="G1" s="67" t="s">
        <v>49</v>
      </c>
      <c r="H1" s="67" t="s">
        <v>50</v>
      </c>
    </row>
    <row r="2" spans="2:32">
      <c r="C2" t="s">
        <v>25</v>
      </c>
      <c r="D2">
        <v>100</v>
      </c>
    </row>
    <row r="3" spans="2:32">
      <c r="B3" s="38">
        <v>515058.38</v>
      </c>
      <c r="C3" s="37">
        <v>44749</v>
      </c>
      <c r="D3" s="2">
        <f>B3/5000</f>
        <v>103.01167599999999</v>
      </c>
      <c r="E3" s="1">
        <f>(D3-100)/100</f>
        <v>3.0116759999999944E-2</v>
      </c>
      <c r="F3" s="22">
        <f>E3+1</f>
        <v>1.0301167599999999</v>
      </c>
    </row>
    <row r="4" spans="2:32">
      <c r="B4" s="38">
        <v>526213.68000000005</v>
      </c>
      <c r="C4" s="37">
        <v>44780</v>
      </c>
      <c r="D4" s="2">
        <f t="shared" ref="D4:D5" si="0">B4/5000</f>
        <v>105.24273600000001</v>
      </c>
      <c r="E4" s="1">
        <f>D4/D3-1</f>
        <v>2.1658321528522873E-2</v>
      </c>
      <c r="F4" s="22">
        <f>E4+1</f>
        <v>1.0216583215285229</v>
      </c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2:32">
      <c r="B5" s="38">
        <v>499085</v>
      </c>
      <c r="C5" s="54">
        <v>44811</v>
      </c>
      <c r="D5" s="56">
        <f t="shared" si="0"/>
        <v>99.816999999999993</v>
      </c>
      <c r="E5" s="1">
        <f t="shared" ref="E5:E14" si="1">D5/D4-1</f>
        <v>-5.1554493984269034E-2</v>
      </c>
      <c r="F5" s="22">
        <f>E5+1</f>
        <v>0.94844550601573097</v>
      </c>
    </row>
    <row r="6" spans="2:32">
      <c r="B6" s="38">
        <v>784518</v>
      </c>
      <c r="C6" s="37">
        <v>44835</v>
      </c>
      <c r="D6" s="2">
        <f>B6/8000</f>
        <v>98.064750000000004</v>
      </c>
      <c r="E6" s="1">
        <f t="shared" si="1"/>
        <v>-1.755462496368343E-2</v>
      </c>
      <c r="F6" s="22">
        <f t="shared" ref="F6:F13" si="2">E6+1</f>
        <v>0.98244537503631657</v>
      </c>
    </row>
    <row r="7" spans="2:32">
      <c r="B7" s="38">
        <v>788818</v>
      </c>
      <c r="C7" s="37">
        <v>44866</v>
      </c>
      <c r="D7" s="2">
        <f t="shared" ref="D7:D23" si="3">B7/8000</f>
        <v>98.602249999999998</v>
      </c>
      <c r="E7" s="1">
        <f t="shared" si="1"/>
        <v>5.4810724546792144E-3</v>
      </c>
      <c r="F7" s="22">
        <f t="shared" si="2"/>
        <v>1.0054810724546792</v>
      </c>
    </row>
    <row r="8" spans="2:32">
      <c r="B8" s="38">
        <v>764376</v>
      </c>
      <c r="C8" s="54">
        <v>44896</v>
      </c>
      <c r="D8" s="56">
        <f t="shared" si="3"/>
        <v>95.546999999999997</v>
      </c>
      <c r="E8" s="1">
        <f t="shared" si="1"/>
        <v>-3.0985601241350968E-2</v>
      </c>
      <c r="F8" s="22">
        <f t="shared" si="2"/>
        <v>0.96901439875864903</v>
      </c>
      <c r="H8" s="1">
        <f>D8/D2-1</f>
        <v>-4.453000000000007E-2</v>
      </c>
    </row>
    <row r="9" spans="2:32">
      <c r="B9" s="38">
        <v>743817</v>
      </c>
      <c r="C9" s="37">
        <v>44927</v>
      </c>
      <c r="D9" s="2">
        <f t="shared" si="3"/>
        <v>92.977125000000001</v>
      </c>
      <c r="E9" s="1">
        <f t="shared" si="1"/>
        <v>-2.6896448868096279E-2</v>
      </c>
      <c r="F9" s="22">
        <f t="shared" si="2"/>
        <v>0.97310355113190372</v>
      </c>
      <c r="H9" s="1"/>
    </row>
    <row r="10" spans="2:32">
      <c r="B10" s="38">
        <v>689680</v>
      </c>
      <c r="C10" s="37">
        <v>44958</v>
      </c>
      <c r="D10" s="2">
        <f t="shared" si="3"/>
        <v>86.21</v>
      </c>
      <c r="E10" s="1">
        <f t="shared" si="1"/>
        <v>-7.2782687139444358E-2</v>
      </c>
      <c r="F10" s="22">
        <f t="shared" si="2"/>
        <v>0.92721731286055564</v>
      </c>
      <c r="H10" s="1"/>
    </row>
    <row r="11" spans="2:32">
      <c r="B11" s="38">
        <v>671320</v>
      </c>
      <c r="C11" s="54">
        <v>44986</v>
      </c>
      <c r="D11" s="56">
        <f t="shared" si="3"/>
        <v>83.915000000000006</v>
      </c>
      <c r="E11" s="1">
        <f t="shared" si="1"/>
        <v>-2.6621041642500676E-2</v>
      </c>
      <c r="F11" s="22">
        <f t="shared" si="2"/>
        <v>0.97337895835749932</v>
      </c>
      <c r="G11" s="1">
        <f>D11/D8-1</f>
        <v>-0.12174113263629405</v>
      </c>
      <c r="H11" s="1"/>
    </row>
    <row r="12" spans="2:32">
      <c r="B12" s="38">
        <v>629655</v>
      </c>
      <c r="C12" s="58">
        <v>45017</v>
      </c>
      <c r="D12" s="60">
        <f t="shared" si="3"/>
        <v>78.706874999999997</v>
      </c>
      <c r="E12" s="1">
        <f t="shared" si="1"/>
        <v>-6.2064291247095338E-2</v>
      </c>
      <c r="F12" s="22">
        <f t="shared" si="2"/>
        <v>0.93793570875290466</v>
      </c>
      <c r="G12" s="1"/>
      <c r="H12" s="1"/>
    </row>
    <row r="13" spans="2:32">
      <c r="B13" s="38">
        <v>615713</v>
      </c>
      <c r="C13" s="37">
        <v>45047</v>
      </c>
      <c r="D13" s="60">
        <f t="shared" si="3"/>
        <v>76.964124999999996</v>
      </c>
      <c r="E13" s="1">
        <f t="shared" si="1"/>
        <v>-2.2142284266780998E-2</v>
      </c>
      <c r="F13" s="22">
        <f t="shared" si="2"/>
        <v>0.977857715733219</v>
      </c>
      <c r="G13" s="1"/>
      <c r="H13" s="1"/>
    </row>
    <row r="14" spans="2:32">
      <c r="B14" s="38">
        <v>638413</v>
      </c>
      <c r="C14" s="59">
        <v>45078</v>
      </c>
      <c r="D14" s="56">
        <f t="shared" si="3"/>
        <v>79.801625000000001</v>
      </c>
      <c r="E14" s="1">
        <f t="shared" si="1"/>
        <v>3.6867826406134174E-2</v>
      </c>
      <c r="F14" s="22">
        <f>E14+1</f>
        <v>1.0368678264061342</v>
      </c>
      <c r="G14" s="1">
        <f>D14/D11-1</f>
        <v>-4.9018351903712176E-2</v>
      </c>
      <c r="H14" s="1">
        <f>D14/D8-1</f>
        <v>-0.1647919348592839</v>
      </c>
    </row>
    <row r="15" spans="2:32">
      <c r="B15" s="38">
        <v>696245</v>
      </c>
      <c r="C15" s="58">
        <v>45108</v>
      </c>
      <c r="D15" s="60">
        <f t="shared" si="3"/>
        <v>87.030625000000001</v>
      </c>
      <c r="E15" s="1">
        <f>D15/D14-1</f>
        <v>9.0587127768388065E-2</v>
      </c>
      <c r="F15" s="22">
        <f t="shared" ref="F15:F16" si="4">E15+1</f>
        <v>1.0905871277683881</v>
      </c>
      <c r="G15" s="1"/>
      <c r="H15" s="1"/>
    </row>
    <row r="16" spans="2:32">
      <c r="B16" s="38">
        <v>645317</v>
      </c>
      <c r="C16" s="37">
        <v>45139</v>
      </c>
      <c r="D16" s="60">
        <f t="shared" si="3"/>
        <v>80.664625000000001</v>
      </c>
      <c r="E16" s="1">
        <f t="shared" ref="E16" si="5">D16/D15-1</f>
        <v>-7.3146665326142335E-2</v>
      </c>
      <c r="F16" s="22">
        <f t="shared" si="4"/>
        <v>0.92685333467385767</v>
      </c>
      <c r="G16" s="1"/>
      <c r="H16" s="1"/>
    </row>
    <row r="17" spans="1:8">
      <c r="B17" s="38">
        <v>609314</v>
      </c>
      <c r="C17" s="59">
        <v>45170</v>
      </c>
      <c r="D17" s="56">
        <f t="shared" si="3"/>
        <v>76.164249999999996</v>
      </c>
      <c r="E17" s="1">
        <f>D17/D16-1</f>
        <v>-5.5791184797549187E-2</v>
      </c>
      <c r="F17" s="22">
        <f>E17+1</f>
        <v>0.94420881520245081</v>
      </c>
      <c r="G17" s="1">
        <f>D17/D14-1</f>
        <v>-4.5580212182396052E-2</v>
      </c>
      <c r="H17" s="1">
        <f>D17/D8-1</f>
        <v>-0.20286089568484622</v>
      </c>
    </row>
    <row r="18" spans="1:8">
      <c r="B18" s="38">
        <v>585753</v>
      </c>
      <c r="C18" s="58">
        <v>45200</v>
      </c>
      <c r="D18" s="60">
        <f t="shared" si="3"/>
        <v>73.219125000000005</v>
      </c>
      <c r="E18" s="1">
        <f t="shared" ref="E18:E23" si="6">D18/D17-1</f>
        <v>-3.8668075901751697E-2</v>
      </c>
      <c r="F18" s="22">
        <f t="shared" ref="F18:F23" si="7">E18+1</f>
        <v>0.9613319240982483</v>
      </c>
      <c r="G18" s="1"/>
      <c r="H18" s="1"/>
    </row>
    <row r="19" spans="1:8">
      <c r="B19" s="38">
        <v>545974</v>
      </c>
      <c r="C19" s="37">
        <v>45231</v>
      </c>
      <c r="D19" s="60">
        <f t="shared" si="3"/>
        <v>68.246750000000006</v>
      </c>
      <c r="E19" s="1">
        <f t="shared" si="6"/>
        <v>-6.7910877110317847E-2</v>
      </c>
      <c r="F19" s="22">
        <f t="shared" si="7"/>
        <v>0.93208912288968215</v>
      </c>
      <c r="G19" s="1"/>
      <c r="H19" s="1"/>
    </row>
    <row r="20" spans="1:8">
      <c r="B20" s="38">
        <v>630785</v>
      </c>
      <c r="C20" s="59">
        <v>45261</v>
      </c>
      <c r="D20" s="56">
        <f t="shared" si="3"/>
        <v>78.848124999999996</v>
      </c>
      <c r="E20" s="1">
        <f t="shared" si="6"/>
        <v>0.15533889892192643</v>
      </c>
      <c r="F20" s="22">
        <f t="shared" si="7"/>
        <v>1.1553388989219264</v>
      </c>
      <c r="G20" s="1">
        <f>D20/D17-1</f>
        <v>3.5237988951509314E-2</v>
      </c>
      <c r="H20" s="1">
        <f>D20/D8-1</f>
        <v>-0.17477131673417268</v>
      </c>
    </row>
    <row r="21" spans="1:8">
      <c r="B21" s="38">
        <v>606777</v>
      </c>
      <c r="C21" s="58">
        <v>45292</v>
      </c>
      <c r="D21" s="60">
        <f t="shared" si="3"/>
        <v>75.847125000000005</v>
      </c>
      <c r="E21" s="1">
        <f t="shared" si="6"/>
        <v>-3.8060511901836458E-2</v>
      </c>
      <c r="F21" s="22">
        <f t="shared" si="7"/>
        <v>0.96193948809816354</v>
      </c>
      <c r="G21" s="1"/>
      <c r="H21" s="1"/>
    </row>
    <row r="22" spans="1:8">
      <c r="B22" s="38">
        <v>811963</v>
      </c>
      <c r="C22" s="37">
        <v>45323</v>
      </c>
      <c r="D22" s="60">
        <f t="shared" si="3"/>
        <v>101.495375</v>
      </c>
      <c r="E22" s="1">
        <f t="shared" si="6"/>
        <v>0.33815718130383954</v>
      </c>
      <c r="F22" s="22">
        <f t="shared" si="7"/>
        <v>1.3381571813038395</v>
      </c>
      <c r="G22" s="1"/>
      <c r="H22" s="1"/>
    </row>
    <row r="23" spans="1:8">
      <c r="B23" s="38">
        <v>610304</v>
      </c>
      <c r="C23" s="59">
        <v>45352</v>
      </c>
      <c r="D23" s="56">
        <f t="shared" si="3"/>
        <v>76.287999999999997</v>
      </c>
      <c r="E23" s="1">
        <f t="shared" si="6"/>
        <v>-0.24835983905670578</v>
      </c>
      <c r="F23" s="22">
        <f t="shared" si="7"/>
        <v>0.75164016094329422</v>
      </c>
      <c r="G23" s="1">
        <f>D23/D20-1</f>
        <v>-3.2469066322122431E-2</v>
      </c>
      <c r="H23" s="1">
        <f>D23/D20-1</f>
        <v>-3.2469066322122431E-2</v>
      </c>
    </row>
    <row r="24" spans="1:8">
      <c r="B24" s="68">
        <v>571946</v>
      </c>
      <c r="C24" s="58">
        <v>45383</v>
      </c>
      <c r="D24" s="69">
        <f t="shared" ref="D24:D26" si="8">B24/8000</f>
        <v>71.493250000000003</v>
      </c>
      <c r="E24" s="1">
        <f>D24/D23-1</f>
        <v>-6.2850644924496546E-2</v>
      </c>
      <c r="F24" s="22">
        <f t="shared" ref="F24:F25" si="9">E24+1</f>
        <v>0.93714935507550345</v>
      </c>
      <c r="G24" s="1"/>
      <c r="H24" s="1"/>
    </row>
    <row r="25" spans="1:8">
      <c r="B25" s="38">
        <v>619522</v>
      </c>
      <c r="C25" s="37">
        <v>45413</v>
      </c>
      <c r="D25" s="69">
        <f>B25/8000</f>
        <v>77.440250000000006</v>
      </c>
      <c r="E25" s="1">
        <f>D25/D24-1</f>
        <v>8.3182678084994022E-2</v>
      </c>
      <c r="F25" s="22">
        <f t="shared" si="9"/>
        <v>1.083182678084994</v>
      </c>
      <c r="G25" s="1"/>
      <c r="H25" s="1"/>
    </row>
    <row r="26" spans="1:8">
      <c r="A26" s="70"/>
      <c r="B26" s="38">
        <v>543102</v>
      </c>
      <c r="C26" s="59">
        <v>45444</v>
      </c>
      <c r="D26" s="56">
        <f t="shared" si="8"/>
        <v>67.887749999999997</v>
      </c>
      <c r="E26" s="1">
        <f>D26/D25-1</f>
        <v>-0.12335316582784805</v>
      </c>
      <c r="F26" s="22">
        <f>E26+1</f>
        <v>0.87664683417215195</v>
      </c>
      <c r="G26" s="1">
        <f>D26/D23-1</f>
        <v>-0.11011233745805371</v>
      </c>
      <c r="H26" s="1">
        <f>D26/D20-1</f>
        <v>-0.13900615899236668</v>
      </c>
    </row>
    <row r="27" spans="1:8">
      <c r="B27" s="38"/>
      <c r="C27" s="59"/>
      <c r="D27" s="56"/>
      <c r="E27" s="1"/>
      <c r="F27" s="22"/>
      <c r="G27" s="1"/>
      <c r="H27" s="1"/>
    </row>
    <row r="28" spans="1:8" ht="16.8" thickBot="1">
      <c r="C28" s="3"/>
      <c r="E28" s="27"/>
      <c r="H28" s="1"/>
    </row>
    <row r="29" spans="1:8">
      <c r="D29" s="82" t="s">
        <v>4</v>
      </c>
      <c r="E29" s="83"/>
    </row>
    <row r="30" spans="1:8">
      <c r="D30" s="84"/>
      <c r="E30" s="85"/>
      <c r="G30" s="1"/>
    </row>
    <row r="31" spans="1:8">
      <c r="D31" s="14" t="s">
        <v>6</v>
      </c>
      <c r="E31" s="23">
        <v>44749</v>
      </c>
      <c r="G31" s="66"/>
    </row>
    <row r="32" spans="1:8">
      <c r="D32" s="14" t="s">
        <v>7</v>
      </c>
      <c r="E32" s="23">
        <v>45471</v>
      </c>
      <c r="G32" s="66"/>
    </row>
    <row r="33" spans="2:18">
      <c r="D33" s="61" t="s">
        <v>1</v>
      </c>
      <c r="E33" s="4">
        <f>(D26-100)/100</f>
        <v>-0.32112250000000003</v>
      </c>
      <c r="F33" s="64" t="str">
        <f ca="1">_xlfn.FORMULATEXT(E33)</f>
        <v>=(D26-100)/100</v>
      </c>
      <c r="O33" s="12"/>
      <c r="P33" s="19"/>
      <c r="R33" s="29"/>
    </row>
    <row r="34" spans="2:18">
      <c r="D34" s="62" t="s">
        <v>2</v>
      </c>
      <c r="E34" s="4">
        <f>(D26-D20)/D20</f>
        <v>-0.13900615899236665</v>
      </c>
      <c r="F34" s="64" t="str">
        <f t="shared" ref="F34:F48" ca="1" si="10">_xlfn.FORMULATEXT(E34)</f>
        <v>=(D26-D20)/D20</v>
      </c>
      <c r="O34" s="12"/>
      <c r="P34" s="19"/>
    </row>
    <row r="35" spans="2:18">
      <c r="D35" s="62" t="s">
        <v>36</v>
      </c>
      <c r="E35" s="4">
        <f>STDEVA(E3:E26)</f>
        <v>0.10743593697296741</v>
      </c>
      <c r="F35" s="64" t="str">
        <f t="shared" ca="1" si="10"/>
        <v>=STDEVA(E3:E26)</v>
      </c>
      <c r="I35" t="s">
        <v>9</v>
      </c>
      <c r="J35" t="s">
        <v>42</v>
      </c>
      <c r="O35" s="30" t="s">
        <v>32</v>
      </c>
      <c r="P35" s="47">
        <f>E33</f>
        <v>-0.32112250000000003</v>
      </c>
    </row>
    <row r="36" spans="2:18">
      <c r="D36" s="62" t="s">
        <v>35</v>
      </c>
      <c r="E36" s="4">
        <f>STDEVA(E15:E26)</f>
        <v>0.15085641126399385</v>
      </c>
      <c r="F36" s="64" t="str">
        <f t="shared" ca="1" si="10"/>
        <v>=STDEVA(E15:E26)</v>
      </c>
      <c r="I36">
        <f>AVERAGE(J38:J49)</f>
        <v>4.3092916666666667</v>
      </c>
      <c r="O36" s="29" t="s">
        <v>33</v>
      </c>
      <c r="P36" s="47">
        <f>E34</f>
        <v>-0.13900615899236665</v>
      </c>
    </row>
    <row r="37" spans="2:18">
      <c r="B37" s="6"/>
      <c r="D37" s="62" t="s">
        <v>13</v>
      </c>
      <c r="E37" s="7">
        <f>E32-E31</f>
        <v>722</v>
      </c>
      <c r="F37" t="str">
        <f ca="1">_xlfn.FORMULATEXT(E37)</f>
        <v>=E32-E31</v>
      </c>
      <c r="I37" s="5" t="s">
        <v>10</v>
      </c>
      <c r="J37" s="65" t="s">
        <v>48</v>
      </c>
      <c r="K37" s="5"/>
      <c r="O37" s="30" t="s">
        <v>20</v>
      </c>
      <c r="P37" s="47">
        <f>E38</f>
        <v>-0.17605977158534136</v>
      </c>
    </row>
    <row r="38" spans="2:18">
      <c r="D38" s="62" t="s">
        <v>12</v>
      </c>
      <c r="E38" s="4">
        <f>(PRODUCT(F3:F26))^(12/COUNT(F3:F26))-1</f>
        <v>-0.17605977158534136</v>
      </c>
      <c r="F38" s="64" t="str">
        <f t="shared" ca="1" si="10"/>
        <v>=(PRODUCT(F3:F26))^(12/COUNT(F3:F26))-1</v>
      </c>
      <c r="I38" s="13">
        <v>45471</v>
      </c>
      <c r="J38">
        <v>4.3960999999999997</v>
      </c>
      <c r="K38" s="5"/>
      <c r="O38" s="29" t="s">
        <v>45</v>
      </c>
      <c r="P38" s="48">
        <f>E47</f>
        <v>0.33333333333333331</v>
      </c>
    </row>
    <row r="39" spans="2:18">
      <c r="D39" s="62" t="s">
        <v>47</v>
      </c>
      <c r="E39" s="8">
        <f>MAX(E3:E26)</f>
        <v>0.33815718130383954</v>
      </c>
      <c r="F39" s="64" t="str">
        <f t="shared" ca="1" si="10"/>
        <v>=MAX(E3:E26)</v>
      </c>
      <c r="I39" s="13">
        <v>45443</v>
      </c>
      <c r="J39">
        <v>4.4984999999999999</v>
      </c>
      <c r="O39" s="30" t="s">
        <v>43</v>
      </c>
      <c r="P39" s="48">
        <f>E48</f>
        <v>0.66666666666666663</v>
      </c>
    </row>
    <row r="40" spans="2:18">
      <c r="D40" s="62" t="s">
        <v>44</v>
      </c>
      <c r="E40" s="8">
        <f>MIN(E3:E26)</f>
        <v>-0.24835983905670578</v>
      </c>
      <c r="F40" s="64" t="str">
        <f t="shared" ca="1" si="10"/>
        <v>=MIN(E3:E26)</v>
      </c>
      <c r="I40" s="13">
        <v>45412</v>
      </c>
      <c r="J40">
        <v>4.6798000000000002</v>
      </c>
      <c r="O40" s="29" t="s">
        <v>21</v>
      </c>
      <c r="P40" s="47">
        <f>E41</f>
        <v>0.37216900279189441</v>
      </c>
    </row>
    <row r="41" spans="2:18">
      <c r="D41" s="62" t="s">
        <v>17</v>
      </c>
      <c r="E41" s="4">
        <f>E35*SQRT(12)</f>
        <v>0.37216900279189441</v>
      </c>
      <c r="F41" t="str">
        <f ca="1">_xlfn.FORMULATEXT(E41)</f>
        <v>=E35*SQRT(12)</v>
      </c>
      <c r="I41" s="13">
        <v>45380</v>
      </c>
      <c r="J41">
        <v>4.2003000000000004</v>
      </c>
      <c r="O41" s="30" t="s">
        <v>22</v>
      </c>
      <c r="P41" s="49">
        <f>E44</f>
        <v>-0.58885260891689994</v>
      </c>
    </row>
    <row r="42" spans="2:18">
      <c r="D42" s="62" t="s">
        <v>18</v>
      </c>
      <c r="E42" s="4">
        <f>E36*SQRT(12)</f>
        <v>0.52258193791348639</v>
      </c>
      <c r="F42" t="str">
        <f t="shared" ca="1" si="10"/>
        <v>=E36*SQRT(12)</v>
      </c>
      <c r="I42" s="13">
        <v>45351</v>
      </c>
      <c r="J42">
        <v>4.2502000000000004</v>
      </c>
      <c r="K42" s="5"/>
      <c r="O42" s="29"/>
      <c r="P42" s="35"/>
    </row>
    <row r="43" spans="2:18">
      <c r="D43" s="62" t="s">
        <v>5</v>
      </c>
      <c r="E43" s="4">
        <f>I36/100</f>
        <v>4.3092916666666668E-2</v>
      </c>
      <c r="F43" t="str">
        <f t="shared" ca="1" si="10"/>
        <v>=I36/100</v>
      </c>
      <c r="I43" s="13">
        <v>45322</v>
      </c>
      <c r="J43">
        <v>3.9123999999999999</v>
      </c>
      <c r="K43" s="5"/>
      <c r="P43" s="46"/>
    </row>
    <row r="44" spans="2:18">
      <c r="D44" s="62" t="s">
        <v>3</v>
      </c>
      <c r="E44" s="26">
        <f>(E38-E43)/E41</f>
        <v>-0.58885260891689994</v>
      </c>
      <c r="F44" t="str">
        <f t="shared" ca="1" si="10"/>
        <v>=(E38-E43)/E41</v>
      </c>
      <c r="I44" s="13">
        <v>45289</v>
      </c>
      <c r="J44">
        <v>3.8791000000000002</v>
      </c>
      <c r="K44" s="5"/>
      <c r="O44" s="12"/>
      <c r="P44" s="19"/>
    </row>
    <row r="45" spans="2:18">
      <c r="D45" s="62" t="s">
        <v>19</v>
      </c>
      <c r="E45" s="4">
        <f>D24/D22-1</f>
        <v>-0.2956009079231442</v>
      </c>
      <c r="F45" s="64" t="str">
        <f t="shared" ca="1" si="10"/>
        <v>=D24/D22-1</v>
      </c>
      <c r="I45" s="13">
        <v>45260</v>
      </c>
      <c r="J45">
        <v>4.3263999999999996</v>
      </c>
      <c r="K45" s="5"/>
    </row>
    <row r="46" spans="2:18">
      <c r="D46" s="62" t="s">
        <v>14</v>
      </c>
      <c r="E46" s="7">
        <f>COUNT(E3:E26)</f>
        <v>24</v>
      </c>
      <c r="F46" s="64" t="str">
        <f t="shared" ca="1" si="10"/>
        <v>=COUNT(E3:E26)</v>
      </c>
      <c r="I46" s="13">
        <v>45230</v>
      </c>
      <c r="J46">
        <v>4.9306999999999999</v>
      </c>
      <c r="K46" s="5"/>
    </row>
    <row r="47" spans="2:18">
      <c r="D47" s="62" t="s">
        <v>15</v>
      </c>
      <c r="E47" s="51">
        <f>COUNTIF(E3:E26,"&gt;0")/E46</f>
        <v>0.33333333333333331</v>
      </c>
      <c r="F47" s="64" t="str">
        <f t="shared" ca="1" si="10"/>
        <v>=COUNTIF(E3:E26,"&gt;0")/E46</v>
      </c>
      <c r="I47" s="13">
        <v>45198</v>
      </c>
      <c r="J47">
        <v>4.5711000000000004</v>
      </c>
      <c r="K47" s="5"/>
    </row>
    <row r="48" spans="2:18" ht="16.8" thickBot="1">
      <c r="D48" s="63" t="s">
        <v>16</v>
      </c>
      <c r="E48" s="53">
        <f>COUNTIF(E3:E26,"&lt;0")/E46</f>
        <v>0.66666666666666663</v>
      </c>
      <c r="F48" s="64" t="str">
        <f t="shared" ca="1" si="10"/>
        <v>=COUNTIF(E3:E26,"&lt;0")/E46</v>
      </c>
      <c r="I48" s="13">
        <v>45169</v>
      </c>
      <c r="J48">
        <v>4.1081000000000003</v>
      </c>
      <c r="K48" s="5"/>
    </row>
    <row r="49" spans="9:11">
      <c r="I49" s="13">
        <v>45138</v>
      </c>
      <c r="J49">
        <v>3.9588000000000001</v>
      </c>
      <c r="K49" s="5"/>
    </row>
    <row r="50" spans="9:11">
      <c r="I50" s="13">
        <v>45107</v>
      </c>
      <c r="J50">
        <v>3.8367</v>
      </c>
      <c r="K50" s="5"/>
    </row>
    <row r="51" spans="9:11">
      <c r="I51" s="13">
        <v>45077</v>
      </c>
      <c r="J51">
        <v>3.6425999999999998</v>
      </c>
      <c r="K51" s="5"/>
    </row>
    <row r="52" spans="9:11">
      <c r="I52" s="13">
        <v>45044</v>
      </c>
      <c r="J52">
        <v>3.4220000000000002</v>
      </c>
      <c r="K52" s="5"/>
    </row>
    <row r="53" spans="9:11">
      <c r="I53" s="13">
        <v>45016</v>
      </c>
      <c r="J53" s="5">
        <v>3.4676</v>
      </c>
      <c r="K53" s="5"/>
    </row>
    <row r="54" spans="9:11">
      <c r="I54" s="13">
        <v>44985</v>
      </c>
      <c r="J54" s="5">
        <v>3.92</v>
      </c>
    </row>
    <row r="55" spans="9:11">
      <c r="I55" s="13">
        <v>44957</v>
      </c>
      <c r="J55" s="5">
        <v>3.5068999999999999</v>
      </c>
    </row>
    <row r="56" spans="9:11">
      <c r="I56" s="13">
        <v>44925</v>
      </c>
      <c r="J56" s="5">
        <v>3.8748</v>
      </c>
    </row>
    <row r="57" spans="9:11">
      <c r="I57" s="13">
        <v>44895</v>
      </c>
      <c r="J57" s="5">
        <v>3.6053999999999999</v>
      </c>
    </row>
    <row r="58" spans="9:11">
      <c r="I58" s="25">
        <v>44865</v>
      </c>
      <c r="J58" s="5">
        <v>4.0477999999999996</v>
      </c>
    </row>
    <row r="59" spans="9:11">
      <c r="I59" s="13">
        <v>44834</v>
      </c>
      <c r="J59" s="5">
        <v>3.8285999999999998</v>
      </c>
    </row>
    <row r="60" spans="9:11">
      <c r="I60" s="13">
        <v>44804</v>
      </c>
      <c r="J60" s="5">
        <v>3.1926000000000001</v>
      </c>
    </row>
    <row r="61" spans="9:11">
      <c r="I61" s="13">
        <v>44772</v>
      </c>
      <c r="J61" s="5">
        <v>2.6486999999999998</v>
      </c>
    </row>
    <row r="62" spans="9:11">
      <c r="I62" s="13">
        <v>44742</v>
      </c>
      <c r="J62" s="5">
        <v>3.0129000000000001</v>
      </c>
    </row>
    <row r="63" spans="9:11">
      <c r="I63" s="13">
        <v>44711</v>
      </c>
      <c r="J63" s="5">
        <v>2.8441000000000001</v>
      </c>
    </row>
    <row r="64" spans="9:11">
      <c r="I64" s="13">
        <v>44680</v>
      </c>
      <c r="J64" s="5">
        <v>2.9336000000000002</v>
      </c>
    </row>
    <row r="65" spans="9:10">
      <c r="I65" s="13">
        <v>44651</v>
      </c>
      <c r="J65" s="5">
        <v>2.3433999999999999</v>
      </c>
    </row>
    <row r="66" spans="9:10">
      <c r="I66" s="13">
        <v>44620</v>
      </c>
      <c r="J66" s="5">
        <v>1.825</v>
      </c>
    </row>
    <row r="67" spans="9:10">
      <c r="I67" s="13">
        <v>44592</v>
      </c>
      <c r="J67" s="5">
        <v>1.7766999999999999</v>
      </c>
    </row>
    <row r="68" spans="9:10">
      <c r="I68" s="13">
        <v>44561</v>
      </c>
      <c r="J68" s="5">
        <v>1.5101</v>
      </c>
    </row>
    <row r="69" spans="9:10">
      <c r="I69" s="13">
        <v>44530</v>
      </c>
      <c r="J69" s="5">
        <v>1.4442999999999999</v>
      </c>
    </row>
    <row r="70" spans="9:10">
      <c r="I70" s="13">
        <v>44498</v>
      </c>
      <c r="J70" s="5">
        <v>1.5521</v>
      </c>
    </row>
    <row r="71" spans="9:10">
      <c r="I71" s="13" t="s">
        <v>24</v>
      </c>
      <c r="J71" s="5">
        <v>1.4873000000000001</v>
      </c>
    </row>
    <row r="72" spans="9:10">
      <c r="I72" s="13">
        <v>44439</v>
      </c>
      <c r="J72" s="5">
        <v>1.3088</v>
      </c>
    </row>
    <row r="73" spans="9:10">
      <c r="I73" s="13">
        <v>44408</v>
      </c>
      <c r="J73" s="5">
        <v>1.2222999999999999</v>
      </c>
    </row>
    <row r="74" spans="9:10">
      <c r="I74" s="13">
        <v>44377</v>
      </c>
      <c r="J74" s="5">
        <v>1.468</v>
      </c>
    </row>
    <row r="75" spans="9:10">
      <c r="I75" s="13">
        <v>44347</v>
      </c>
      <c r="J75" s="5">
        <v>1.5943000000000001</v>
      </c>
    </row>
    <row r="76" spans="9:10">
      <c r="I76" s="13">
        <v>44316</v>
      </c>
      <c r="J76" s="5">
        <v>1.6259000000000001</v>
      </c>
    </row>
    <row r="77" spans="9:10">
      <c r="I77" s="13">
        <v>44286</v>
      </c>
      <c r="J77" s="5">
        <v>1.7403999999999999</v>
      </c>
    </row>
    <row r="78" spans="9:10">
      <c r="I78" s="13">
        <v>44253</v>
      </c>
      <c r="J78" s="5">
        <v>1.4049</v>
      </c>
    </row>
    <row r="79" spans="9:10">
      <c r="I79" s="13">
        <v>44225</v>
      </c>
      <c r="J79" s="5">
        <v>1.0655000000000001</v>
      </c>
    </row>
    <row r="80" spans="9:10">
      <c r="I80" s="13">
        <v>44196</v>
      </c>
      <c r="J80" s="5">
        <v>0.91320000000000001</v>
      </c>
    </row>
    <row r="81" spans="9:10">
      <c r="I81" s="13">
        <v>44165</v>
      </c>
      <c r="J81" s="5">
        <v>0.83889999999999998</v>
      </c>
    </row>
    <row r="82" spans="9:10">
      <c r="I82" s="13">
        <v>44134</v>
      </c>
      <c r="J82" s="5">
        <v>0.87370000000000003</v>
      </c>
    </row>
    <row r="83" spans="9:10">
      <c r="I83" s="13">
        <v>44104</v>
      </c>
      <c r="J83" s="5">
        <v>0.68400000000000005</v>
      </c>
    </row>
    <row r="84" spans="9:10">
      <c r="I84" s="13">
        <v>44074</v>
      </c>
      <c r="J84" s="5">
        <v>0.70479999999999998</v>
      </c>
    </row>
    <row r="85" spans="9:10">
      <c r="I85" s="13">
        <v>44043</v>
      </c>
      <c r="J85" s="5">
        <v>0.5282</v>
      </c>
    </row>
    <row r="86" spans="9:10">
      <c r="I86" s="13">
        <v>44012</v>
      </c>
      <c r="J86" s="5">
        <v>0.65610000000000002</v>
      </c>
    </row>
  </sheetData>
  <mergeCells count="1">
    <mergeCell ref="D29:E30"/>
  </mergeCells>
  <phoneticPr fontId="30" type="noConversion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87BA5-1B10-4E9C-8687-6E615D613ADA}">
  <dimension ref="B1:AF81"/>
  <sheetViews>
    <sheetView zoomScale="85" zoomScaleNormal="85" workbookViewId="0">
      <selection activeCell="C31" sqref="C31"/>
    </sheetView>
  </sheetViews>
  <sheetFormatPr defaultRowHeight="16.2"/>
  <cols>
    <col min="1" max="1" width="31.5546875" customWidth="1"/>
    <col min="2" max="2" width="16.21875" customWidth="1"/>
    <col min="3" max="3" width="17" customWidth="1"/>
    <col min="4" max="4" width="28" customWidth="1"/>
    <col min="5" max="5" width="21.44140625" customWidth="1"/>
    <col min="6" max="6" width="20.44140625" customWidth="1"/>
    <col min="7" max="7" width="8.5546875" bestFit="1" customWidth="1"/>
    <col min="9" max="9" width="11.5546875" customWidth="1"/>
    <col min="15" max="15" width="27.21875" customWidth="1"/>
    <col min="16" max="16" width="10" bestFit="1" customWidth="1"/>
    <col min="18" max="18" width="27.109375" customWidth="1"/>
    <col min="19" max="19" width="9.44140625" bestFit="1" customWidth="1"/>
  </cols>
  <sheetData>
    <row r="1" spans="2:32">
      <c r="B1" t="s">
        <v>39</v>
      </c>
      <c r="D1" t="s">
        <v>0</v>
      </c>
      <c r="E1" t="s">
        <v>8</v>
      </c>
      <c r="G1" s="67" t="s">
        <v>49</v>
      </c>
      <c r="H1" s="67" t="s">
        <v>50</v>
      </c>
    </row>
    <row r="2" spans="2:32">
      <c r="C2" t="s">
        <v>25</v>
      </c>
      <c r="D2">
        <v>100</v>
      </c>
    </row>
    <row r="3" spans="2:32">
      <c r="B3" s="38">
        <v>515058.38</v>
      </c>
      <c r="C3" s="37">
        <v>44749</v>
      </c>
      <c r="D3" s="2">
        <f>B3/5000</f>
        <v>103.01167599999999</v>
      </c>
      <c r="E3" s="1">
        <f>(D3-100)/100</f>
        <v>3.0116759999999944E-2</v>
      </c>
      <c r="F3" s="22">
        <f>E3+1</f>
        <v>1.0301167599999999</v>
      </c>
    </row>
    <row r="4" spans="2:32">
      <c r="B4" s="38">
        <v>526213.68000000005</v>
      </c>
      <c r="C4" s="37">
        <v>44780</v>
      </c>
      <c r="D4" s="2">
        <f t="shared" ref="D4:D5" si="0">B4/5000</f>
        <v>105.24273600000001</v>
      </c>
      <c r="E4" s="1">
        <f>D4/D3-1</f>
        <v>2.1658321528522873E-2</v>
      </c>
      <c r="F4" s="22">
        <f>E4+1</f>
        <v>1.0216583215285229</v>
      </c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2:32">
      <c r="B5" s="38">
        <v>499085</v>
      </c>
      <c r="C5" s="54">
        <v>44811</v>
      </c>
      <c r="D5" s="56">
        <f t="shared" si="0"/>
        <v>99.816999999999993</v>
      </c>
      <c r="E5" s="1">
        <f t="shared" ref="E5:E14" si="1">D5/D4-1</f>
        <v>-5.1554493984269034E-2</v>
      </c>
      <c r="F5" s="22">
        <f>E5+1</f>
        <v>0.94844550601573097</v>
      </c>
    </row>
    <row r="6" spans="2:32">
      <c r="B6" s="38">
        <v>784518</v>
      </c>
      <c r="C6" s="37">
        <v>44835</v>
      </c>
      <c r="D6" s="2">
        <f>B6/8000</f>
        <v>98.064750000000004</v>
      </c>
      <c r="E6" s="1">
        <f t="shared" si="1"/>
        <v>-1.755462496368343E-2</v>
      </c>
      <c r="F6" s="22">
        <f t="shared" ref="F6:F13" si="2">E6+1</f>
        <v>0.98244537503631657</v>
      </c>
    </row>
    <row r="7" spans="2:32">
      <c r="B7" s="38">
        <v>788818</v>
      </c>
      <c r="C7" s="37">
        <v>44866</v>
      </c>
      <c r="D7" s="2">
        <f t="shared" ref="D7:D20" si="3">B7/8000</f>
        <v>98.602249999999998</v>
      </c>
      <c r="E7" s="1">
        <f t="shared" si="1"/>
        <v>5.4810724546792144E-3</v>
      </c>
      <c r="F7" s="22">
        <f t="shared" si="2"/>
        <v>1.0054810724546792</v>
      </c>
    </row>
    <row r="8" spans="2:32">
      <c r="B8" s="38">
        <v>764376</v>
      </c>
      <c r="C8" s="54">
        <v>44896</v>
      </c>
      <c r="D8" s="56">
        <f t="shared" si="3"/>
        <v>95.546999999999997</v>
      </c>
      <c r="E8" s="1">
        <f t="shared" si="1"/>
        <v>-3.0985601241350968E-2</v>
      </c>
      <c r="F8" s="22">
        <f t="shared" si="2"/>
        <v>0.96901439875864903</v>
      </c>
      <c r="H8" s="1">
        <f>D8/D2-1</f>
        <v>-4.453000000000007E-2</v>
      </c>
    </row>
    <row r="9" spans="2:32">
      <c r="B9" s="38">
        <v>743817</v>
      </c>
      <c r="C9" s="37">
        <v>44927</v>
      </c>
      <c r="D9" s="2">
        <f t="shared" si="3"/>
        <v>92.977125000000001</v>
      </c>
      <c r="E9" s="1">
        <f t="shared" si="1"/>
        <v>-2.6896448868096279E-2</v>
      </c>
      <c r="F9" s="22">
        <f t="shared" si="2"/>
        <v>0.97310355113190372</v>
      </c>
      <c r="H9" s="1"/>
    </row>
    <row r="10" spans="2:32">
      <c r="B10" s="38">
        <v>689680</v>
      </c>
      <c r="C10" s="37">
        <v>44958</v>
      </c>
      <c r="D10" s="2">
        <f t="shared" si="3"/>
        <v>86.21</v>
      </c>
      <c r="E10" s="1">
        <f t="shared" si="1"/>
        <v>-7.2782687139444358E-2</v>
      </c>
      <c r="F10" s="22">
        <f t="shared" si="2"/>
        <v>0.92721731286055564</v>
      </c>
      <c r="H10" s="1"/>
    </row>
    <row r="11" spans="2:32">
      <c r="B11" s="38">
        <v>671320</v>
      </c>
      <c r="C11" s="54">
        <v>44986</v>
      </c>
      <c r="D11" s="56">
        <f t="shared" si="3"/>
        <v>83.915000000000006</v>
      </c>
      <c r="E11" s="1">
        <f t="shared" si="1"/>
        <v>-2.6621041642500676E-2</v>
      </c>
      <c r="F11" s="22">
        <f t="shared" si="2"/>
        <v>0.97337895835749932</v>
      </c>
      <c r="G11" s="1">
        <f>D11/D8-1</f>
        <v>-0.12174113263629405</v>
      </c>
      <c r="H11" s="1"/>
    </row>
    <row r="12" spans="2:32">
      <c r="B12" s="38">
        <v>629655</v>
      </c>
      <c r="C12" s="58">
        <v>45017</v>
      </c>
      <c r="D12" s="60">
        <f t="shared" si="3"/>
        <v>78.706874999999997</v>
      </c>
      <c r="E12" s="1">
        <f t="shared" si="1"/>
        <v>-6.2064291247095338E-2</v>
      </c>
      <c r="F12" s="22">
        <f t="shared" si="2"/>
        <v>0.93793570875290466</v>
      </c>
      <c r="G12" s="1"/>
      <c r="H12" s="1"/>
    </row>
    <row r="13" spans="2:32">
      <c r="B13" s="38">
        <v>615713</v>
      </c>
      <c r="C13" s="37">
        <v>45047</v>
      </c>
      <c r="D13" s="60">
        <f t="shared" si="3"/>
        <v>76.964124999999996</v>
      </c>
      <c r="E13" s="1">
        <f t="shared" si="1"/>
        <v>-2.2142284266780998E-2</v>
      </c>
      <c r="F13" s="22">
        <f t="shared" si="2"/>
        <v>0.977857715733219</v>
      </c>
      <c r="G13" s="1"/>
      <c r="H13" s="1"/>
    </row>
    <row r="14" spans="2:32">
      <c r="B14" s="38">
        <v>638413</v>
      </c>
      <c r="C14" s="59">
        <v>45078</v>
      </c>
      <c r="D14" s="56">
        <f t="shared" si="3"/>
        <v>79.801625000000001</v>
      </c>
      <c r="E14" s="1">
        <f t="shared" si="1"/>
        <v>3.6867826406134174E-2</v>
      </c>
      <c r="F14" s="22">
        <f>E14+1</f>
        <v>1.0368678264061342</v>
      </c>
      <c r="G14" s="1">
        <f>D14/D11-1</f>
        <v>-4.9018351903712176E-2</v>
      </c>
      <c r="H14" s="1">
        <f>D14/D8-1</f>
        <v>-0.1647919348592839</v>
      </c>
    </row>
    <row r="15" spans="2:32">
      <c r="B15" s="38">
        <v>696245</v>
      </c>
      <c r="C15" s="58">
        <v>45108</v>
      </c>
      <c r="D15" s="60">
        <f t="shared" si="3"/>
        <v>87.030625000000001</v>
      </c>
      <c r="E15" s="1">
        <f>D15/D14-1</f>
        <v>9.0587127768388065E-2</v>
      </c>
      <c r="F15" s="22">
        <f t="shared" ref="F15:F16" si="4">E15+1</f>
        <v>1.0905871277683881</v>
      </c>
      <c r="G15" s="1"/>
      <c r="H15" s="1"/>
    </row>
    <row r="16" spans="2:32">
      <c r="B16" s="38">
        <v>645317</v>
      </c>
      <c r="C16" s="37">
        <v>45139</v>
      </c>
      <c r="D16" s="60">
        <f t="shared" si="3"/>
        <v>80.664625000000001</v>
      </c>
      <c r="E16" s="1">
        <f t="shared" ref="E16" si="5">D16/D15-1</f>
        <v>-7.3146665326142335E-2</v>
      </c>
      <c r="F16" s="22">
        <f t="shared" si="4"/>
        <v>0.92685333467385767</v>
      </c>
      <c r="G16" s="1"/>
      <c r="H16" s="1"/>
    </row>
    <row r="17" spans="2:18">
      <c r="B17" s="38">
        <v>609314</v>
      </c>
      <c r="C17" s="59">
        <v>45170</v>
      </c>
      <c r="D17" s="56">
        <f t="shared" si="3"/>
        <v>76.164249999999996</v>
      </c>
      <c r="E17" s="1">
        <f>D17/D16-1</f>
        <v>-5.5791184797549187E-2</v>
      </c>
      <c r="F17" s="22">
        <f>E17+1</f>
        <v>0.94420881520245081</v>
      </c>
      <c r="G17" s="1">
        <f>D17/D14-1</f>
        <v>-4.5580212182396052E-2</v>
      </c>
      <c r="H17" s="1">
        <f>D17/D8-1</f>
        <v>-0.20286089568484622</v>
      </c>
    </row>
    <row r="18" spans="2:18">
      <c r="B18" s="38">
        <v>585753</v>
      </c>
      <c r="C18" s="58">
        <v>45200</v>
      </c>
      <c r="D18" s="60">
        <f t="shared" si="3"/>
        <v>73.219125000000005</v>
      </c>
      <c r="E18" s="1">
        <f t="shared" ref="E18:E20" si="6">D18/D17-1</f>
        <v>-3.8668075901751697E-2</v>
      </c>
      <c r="F18" s="22">
        <f t="shared" ref="F18:F20" si="7">E18+1</f>
        <v>0.9613319240982483</v>
      </c>
      <c r="G18" s="1"/>
      <c r="H18" s="1"/>
    </row>
    <row r="19" spans="2:18">
      <c r="B19" s="38">
        <v>545974</v>
      </c>
      <c r="C19" s="37">
        <v>45231</v>
      </c>
      <c r="D19" s="60">
        <f t="shared" si="3"/>
        <v>68.246750000000006</v>
      </c>
      <c r="E19" s="1">
        <f t="shared" si="6"/>
        <v>-6.7910877110317847E-2</v>
      </c>
      <c r="F19" s="22">
        <f t="shared" si="7"/>
        <v>0.93208912288968215</v>
      </c>
      <c r="G19" s="1"/>
      <c r="H19" s="1"/>
    </row>
    <row r="20" spans="2:18">
      <c r="B20" s="38">
        <v>630785</v>
      </c>
      <c r="C20" s="59">
        <v>45261</v>
      </c>
      <c r="D20" s="56">
        <f t="shared" si="3"/>
        <v>78.848124999999996</v>
      </c>
      <c r="E20" s="1">
        <f t="shared" si="6"/>
        <v>0.15533889892192643</v>
      </c>
      <c r="F20" s="22">
        <f t="shared" si="7"/>
        <v>1.1553388989219264</v>
      </c>
      <c r="G20" s="1">
        <f>D20/D17-1</f>
        <v>3.5237988951509314E-2</v>
      </c>
      <c r="H20" s="1">
        <f>D20/D8-1</f>
        <v>-0.17477131673417268</v>
      </c>
    </row>
    <row r="21" spans="2:18">
      <c r="B21" s="38">
        <v>606777</v>
      </c>
      <c r="C21" s="58">
        <v>45292</v>
      </c>
      <c r="D21" s="60">
        <f t="shared" ref="D21:D23" si="8">B21/8000</f>
        <v>75.847125000000005</v>
      </c>
      <c r="E21" s="1">
        <f t="shared" ref="E21:E23" si="9">D21/D20-1</f>
        <v>-3.8060511901836458E-2</v>
      </c>
      <c r="F21" s="22">
        <f t="shared" ref="F21:F23" si="10">E21+1</f>
        <v>0.96193948809816354</v>
      </c>
      <c r="G21" s="1"/>
      <c r="H21" s="1"/>
    </row>
    <row r="22" spans="2:18">
      <c r="B22" s="38">
        <v>811963</v>
      </c>
      <c r="C22" s="37">
        <v>45323</v>
      </c>
      <c r="D22" s="60">
        <f t="shared" si="8"/>
        <v>101.495375</v>
      </c>
      <c r="E22" s="1">
        <f t="shared" si="9"/>
        <v>0.33815718130383954</v>
      </c>
      <c r="F22" s="22">
        <f t="shared" si="10"/>
        <v>1.3381571813038395</v>
      </c>
      <c r="G22" s="1"/>
      <c r="H22" s="1"/>
    </row>
    <row r="23" spans="2:18">
      <c r="B23" s="38">
        <v>610304</v>
      </c>
      <c r="C23" s="59">
        <v>45352</v>
      </c>
      <c r="D23" s="56">
        <f t="shared" si="8"/>
        <v>76.287999999999997</v>
      </c>
      <c r="E23" s="1">
        <f t="shared" si="9"/>
        <v>-0.24835983905670578</v>
      </c>
      <c r="F23" s="22">
        <f t="shared" si="10"/>
        <v>0.75164016094329422</v>
      </c>
      <c r="G23" s="1">
        <f>D23/D20-1</f>
        <v>-3.2469066322122431E-2</v>
      </c>
      <c r="H23" s="1">
        <f>D23/D20-1</f>
        <v>-3.2469066322122431E-2</v>
      </c>
    </row>
    <row r="24" spans="2:18">
      <c r="B24" s="38"/>
      <c r="C24" s="59"/>
      <c r="D24" s="56"/>
      <c r="E24" s="1"/>
      <c r="F24" s="22"/>
      <c r="G24" s="1"/>
      <c r="H24" s="1"/>
    </row>
    <row r="25" spans="2:18">
      <c r="B25" s="38"/>
      <c r="C25" s="59"/>
      <c r="D25" s="56"/>
      <c r="E25" s="1"/>
      <c r="F25" s="22"/>
      <c r="G25" s="1"/>
      <c r="H25" s="1"/>
    </row>
    <row r="26" spans="2:18" ht="16.8" thickBot="1">
      <c r="C26" s="3"/>
      <c r="E26" s="27"/>
      <c r="H26" s="1"/>
    </row>
    <row r="27" spans="2:18">
      <c r="D27" s="82" t="s">
        <v>4</v>
      </c>
      <c r="E27" s="83"/>
    </row>
    <row r="28" spans="2:18">
      <c r="D28" s="84"/>
      <c r="E28" s="85"/>
      <c r="G28" s="1"/>
    </row>
    <row r="29" spans="2:18">
      <c r="D29" s="14" t="s">
        <v>6</v>
      </c>
      <c r="E29" s="23">
        <v>44749</v>
      </c>
      <c r="G29" s="66"/>
    </row>
    <row r="30" spans="2:18">
      <c r="D30" s="14" t="s">
        <v>7</v>
      </c>
      <c r="E30" s="23">
        <v>45379</v>
      </c>
      <c r="G30" s="66"/>
    </row>
    <row r="31" spans="2:18">
      <c r="D31" s="61" t="s">
        <v>1</v>
      </c>
      <c r="E31" s="4">
        <f>(D23-100)/100</f>
        <v>-0.23712000000000003</v>
      </c>
      <c r="F31" s="64" t="str">
        <f ca="1">_xlfn.FORMULATEXT(E31)</f>
        <v>=(D23-100)/100</v>
      </c>
      <c r="O31" s="12"/>
      <c r="P31" s="19"/>
      <c r="R31" s="29"/>
    </row>
    <row r="32" spans="2:18">
      <c r="D32" s="62" t="s">
        <v>2</v>
      </c>
      <c r="E32" s="4">
        <f>(D23-D20)/D20</f>
        <v>-3.2469066322122431E-2</v>
      </c>
      <c r="F32" s="64" t="str">
        <f t="shared" ref="F32:F40" ca="1" si="11">_xlfn.FORMULATEXT(E32)</f>
        <v>=(D23-D20)/D20</v>
      </c>
      <c r="O32" s="12"/>
      <c r="P32" s="19"/>
    </row>
    <row r="33" spans="2:16">
      <c r="D33" s="62" t="s">
        <v>36</v>
      </c>
      <c r="E33" s="4">
        <f>STDEVA(E3:E23)</f>
        <v>0.1097763375666896</v>
      </c>
      <c r="F33" s="64" t="str">
        <f t="shared" ca="1" si="11"/>
        <v>=STDEVA(E3:E23)</v>
      </c>
      <c r="I33" t="s">
        <v>9</v>
      </c>
      <c r="J33" t="s">
        <v>42</v>
      </c>
      <c r="O33" s="30" t="s">
        <v>32</v>
      </c>
      <c r="P33" s="47">
        <f>E31</f>
        <v>-0.23712000000000003</v>
      </c>
    </row>
    <row r="34" spans="2:16">
      <c r="D34" s="62" t="s">
        <v>35</v>
      </c>
      <c r="E34" s="4">
        <f>STDEVA(E12:E23)</f>
        <v>0.1446221136325315</v>
      </c>
      <c r="F34" s="64" t="str">
        <f t="shared" ca="1" si="11"/>
        <v>=STDEVA(E12:E23)</v>
      </c>
      <c r="I34">
        <f>AVERAGE(J36:J47)</f>
        <v>4.0865333333333336</v>
      </c>
      <c r="O34" s="29" t="s">
        <v>33</v>
      </c>
      <c r="P34" s="47">
        <f>E32</f>
        <v>-3.2469066322122431E-2</v>
      </c>
    </row>
    <row r="35" spans="2:16">
      <c r="B35" s="6"/>
      <c r="D35" s="62" t="s">
        <v>13</v>
      </c>
      <c r="E35" s="7">
        <f>E30-E29</f>
        <v>630</v>
      </c>
      <c r="F35" t="str">
        <f ca="1">_xlfn.FORMULATEXT(E35)</f>
        <v>=E30-E29</v>
      </c>
      <c r="I35" s="5" t="s">
        <v>10</v>
      </c>
      <c r="J35" s="65" t="s">
        <v>48</v>
      </c>
      <c r="K35" s="5"/>
      <c r="O35" s="30" t="s">
        <v>20</v>
      </c>
      <c r="P35" s="47">
        <f>E36</f>
        <v>-0.14329336371371093</v>
      </c>
    </row>
    <row r="36" spans="2:16">
      <c r="D36" s="62" t="s">
        <v>12</v>
      </c>
      <c r="E36" s="4">
        <f>(PRODUCT(F3:F23))^(12/COUNT(F3:F23))-1</f>
        <v>-0.14329336371371093</v>
      </c>
      <c r="F36" s="64" t="str">
        <f t="shared" ca="1" si="11"/>
        <v>=(PRODUCT(F3:F23))^(12/COUNT(F3:F23))-1</v>
      </c>
      <c r="I36" s="13">
        <v>45380</v>
      </c>
      <c r="J36">
        <v>4.2003000000000004</v>
      </c>
      <c r="K36" s="5"/>
      <c r="O36" s="29" t="s">
        <v>45</v>
      </c>
      <c r="P36" s="48">
        <f>E45</f>
        <v>0.33333333333333331</v>
      </c>
    </row>
    <row r="37" spans="2:16">
      <c r="D37" s="62" t="s">
        <v>47</v>
      </c>
      <c r="E37" s="8">
        <f>MAX(E3:E23)</f>
        <v>0.33815718130383954</v>
      </c>
      <c r="F37" s="64" t="str">
        <f t="shared" ca="1" si="11"/>
        <v>=MAX(E3:E23)</v>
      </c>
      <c r="I37" s="13">
        <v>45351</v>
      </c>
      <c r="J37">
        <v>4.2502000000000004</v>
      </c>
      <c r="O37" s="30" t="s">
        <v>43</v>
      </c>
      <c r="P37" s="48">
        <f>E46</f>
        <v>0.66666666666666663</v>
      </c>
    </row>
    <row r="38" spans="2:16">
      <c r="D38" s="62" t="s">
        <v>44</v>
      </c>
      <c r="E38" s="8">
        <f>MIN(E3:E23)</f>
        <v>-0.24835983905670578</v>
      </c>
      <c r="F38" s="64" t="str">
        <f t="shared" ca="1" si="11"/>
        <v>=MIN(E3:E23)</v>
      </c>
      <c r="I38" s="13">
        <v>45322</v>
      </c>
      <c r="J38">
        <v>3.9123999999999999</v>
      </c>
      <c r="O38" s="29" t="s">
        <v>21</v>
      </c>
      <c r="P38" s="47">
        <f>E39</f>
        <v>0.38027638826867677</v>
      </c>
    </row>
    <row r="39" spans="2:16">
      <c r="D39" s="62" t="s">
        <v>17</v>
      </c>
      <c r="E39" s="4">
        <f>E33*SQRT(12)</f>
        <v>0.38027638826867677</v>
      </c>
      <c r="F39" t="str">
        <f ca="1">_xlfn.FORMULATEXT(E39)</f>
        <v>=E33*SQRT(12)</v>
      </c>
      <c r="I39" s="13">
        <v>45289</v>
      </c>
      <c r="J39">
        <v>3.8791000000000002</v>
      </c>
      <c r="O39" s="30" t="s">
        <v>22</v>
      </c>
      <c r="P39" s="49">
        <f>E42</f>
        <v>-0.48427591806444364</v>
      </c>
    </row>
    <row r="40" spans="2:16">
      <c r="D40" s="62" t="s">
        <v>18</v>
      </c>
      <c r="E40" s="4">
        <f>E34*SQRT(12)</f>
        <v>0.50098569741908816</v>
      </c>
      <c r="F40" t="str">
        <f t="shared" ca="1" si="11"/>
        <v>=E34*SQRT(12)</v>
      </c>
      <c r="I40" s="13">
        <v>45260</v>
      </c>
      <c r="J40">
        <v>4.3263999999999996</v>
      </c>
      <c r="K40" s="5"/>
      <c r="O40" s="29"/>
      <c r="P40" s="35"/>
    </row>
    <row r="41" spans="2:16">
      <c r="D41" s="62" t="s">
        <v>5</v>
      </c>
      <c r="E41" s="4">
        <f>I34/100</f>
        <v>4.0865333333333337E-2</v>
      </c>
      <c r="F41" t="str">
        <f t="shared" ref="F41:F46" ca="1" si="12">_xlfn.FORMULATEXT(E41)</f>
        <v>=I34/100</v>
      </c>
      <c r="I41" s="13">
        <v>45230</v>
      </c>
      <c r="J41">
        <v>4.9306999999999999</v>
      </c>
      <c r="K41" s="5"/>
      <c r="P41" s="46"/>
    </row>
    <row r="42" spans="2:16">
      <c r="D42" s="62" t="s">
        <v>3</v>
      </c>
      <c r="E42" s="26">
        <f>(E36-E41)/E39</f>
        <v>-0.48427591806444364</v>
      </c>
      <c r="F42" t="str">
        <f t="shared" ca="1" si="12"/>
        <v>=(E36-E41)/E39</v>
      </c>
      <c r="I42" s="13">
        <v>45198</v>
      </c>
      <c r="J42">
        <v>4.5711000000000004</v>
      </c>
      <c r="K42" s="5"/>
      <c r="O42" s="12"/>
      <c r="P42" s="19"/>
    </row>
    <row r="43" spans="2:16">
      <c r="D43" s="62" t="s">
        <v>19</v>
      </c>
      <c r="E43" s="4">
        <f>D23/D22-1</f>
        <v>-0.24835983905670578</v>
      </c>
      <c r="F43" s="64" t="str">
        <f t="shared" ca="1" si="12"/>
        <v>=D23/D22-1</v>
      </c>
      <c r="I43" s="13">
        <v>45169</v>
      </c>
      <c r="J43">
        <v>4.1081000000000003</v>
      </c>
      <c r="K43" s="5"/>
    </row>
    <row r="44" spans="2:16">
      <c r="D44" s="62" t="s">
        <v>14</v>
      </c>
      <c r="E44" s="7">
        <f>COUNT(E3:E23)</f>
        <v>21</v>
      </c>
      <c r="F44" s="64" t="str">
        <f t="shared" ca="1" si="12"/>
        <v>=COUNT(E3:E23)</v>
      </c>
      <c r="I44" s="13">
        <v>45138</v>
      </c>
      <c r="J44">
        <v>3.9588000000000001</v>
      </c>
      <c r="K44" s="5"/>
    </row>
    <row r="45" spans="2:16">
      <c r="D45" s="62" t="s">
        <v>15</v>
      </c>
      <c r="E45" s="51">
        <f>COUNTIF(E3:E23,"&gt;0")/E44</f>
        <v>0.33333333333333331</v>
      </c>
      <c r="F45" s="64" t="str">
        <f t="shared" ca="1" si="12"/>
        <v>=COUNTIF(E3:E23,"&gt;0")/E44</v>
      </c>
      <c r="I45" s="13">
        <v>45107</v>
      </c>
      <c r="J45">
        <v>3.8367</v>
      </c>
      <c r="K45" s="5"/>
    </row>
    <row r="46" spans="2:16" ht="16.8" thickBot="1">
      <c r="D46" s="63" t="s">
        <v>16</v>
      </c>
      <c r="E46" s="53">
        <f>COUNTIF(E3:E23,"&lt;0")/E44</f>
        <v>0.66666666666666663</v>
      </c>
      <c r="F46" s="64" t="str">
        <f t="shared" ca="1" si="12"/>
        <v>=COUNTIF(E3:E23,"&lt;0")/E44</v>
      </c>
      <c r="I46" s="13">
        <v>45077</v>
      </c>
      <c r="J46">
        <v>3.6425999999999998</v>
      </c>
      <c r="K46" s="5"/>
    </row>
    <row r="47" spans="2:16">
      <c r="I47" s="13">
        <v>45044</v>
      </c>
      <c r="J47">
        <v>3.4220000000000002</v>
      </c>
      <c r="K47" s="5"/>
    </row>
    <row r="48" spans="2:16">
      <c r="I48" s="13">
        <v>45016</v>
      </c>
      <c r="J48" s="5">
        <v>3.4676</v>
      </c>
      <c r="K48" s="5"/>
    </row>
    <row r="49" spans="9:11">
      <c r="I49" s="13">
        <v>44985</v>
      </c>
      <c r="J49" s="5">
        <v>3.92</v>
      </c>
      <c r="K49" s="5"/>
    </row>
    <row r="50" spans="9:11">
      <c r="I50" s="13">
        <v>44957</v>
      </c>
      <c r="J50" s="5">
        <v>3.5068999999999999</v>
      </c>
      <c r="K50" s="5"/>
    </row>
    <row r="51" spans="9:11">
      <c r="I51" s="13">
        <v>44925</v>
      </c>
      <c r="J51" s="5">
        <v>3.8748</v>
      </c>
      <c r="K51" s="5"/>
    </row>
    <row r="52" spans="9:11">
      <c r="I52" s="13">
        <v>44895</v>
      </c>
      <c r="J52" s="5">
        <v>3.6053999999999999</v>
      </c>
    </row>
    <row r="53" spans="9:11">
      <c r="I53" s="25">
        <v>44865</v>
      </c>
      <c r="J53" s="5">
        <v>4.0477999999999996</v>
      </c>
    </row>
    <row r="54" spans="9:11">
      <c r="I54" s="13">
        <v>44834</v>
      </c>
      <c r="J54" s="5">
        <v>3.8285999999999998</v>
      </c>
    </row>
    <row r="55" spans="9:11">
      <c r="I55" s="13">
        <v>44804</v>
      </c>
      <c r="J55" s="5">
        <v>3.1926000000000001</v>
      </c>
    </row>
    <row r="56" spans="9:11">
      <c r="I56" s="13">
        <v>44772</v>
      </c>
      <c r="J56" s="5">
        <v>2.6486999999999998</v>
      </c>
    </row>
    <row r="57" spans="9:11">
      <c r="I57" s="13">
        <v>44742</v>
      </c>
      <c r="J57" s="5">
        <v>3.0129000000000001</v>
      </c>
    </row>
    <row r="58" spans="9:11">
      <c r="I58" s="13">
        <v>44711</v>
      </c>
      <c r="J58" s="5">
        <v>2.8441000000000001</v>
      </c>
    </row>
    <row r="59" spans="9:11">
      <c r="I59" s="13">
        <v>44680</v>
      </c>
      <c r="J59" s="5">
        <v>2.9336000000000002</v>
      </c>
    </row>
    <row r="60" spans="9:11">
      <c r="I60" s="13">
        <v>44651</v>
      </c>
      <c r="J60" s="5">
        <v>2.3433999999999999</v>
      </c>
    </row>
    <row r="61" spans="9:11">
      <c r="I61" s="13">
        <v>44620</v>
      </c>
      <c r="J61" s="5">
        <v>1.825</v>
      </c>
    </row>
    <row r="62" spans="9:11">
      <c r="I62" s="13">
        <v>44592</v>
      </c>
      <c r="J62" s="5">
        <v>1.7766999999999999</v>
      </c>
    </row>
    <row r="63" spans="9:11">
      <c r="I63" s="13">
        <v>44561</v>
      </c>
      <c r="J63" s="5">
        <v>1.5101</v>
      </c>
    </row>
    <row r="64" spans="9:11">
      <c r="I64" s="13">
        <v>44530</v>
      </c>
      <c r="J64" s="5">
        <v>1.4442999999999999</v>
      </c>
    </row>
    <row r="65" spans="9:10">
      <c r="I65" s="13">
        <v>44498</v>
      </c>
      <c r="J65" s="5">
        <v>1.5521</v>
      </c>
    </row>
    <row r="66" spans="9:10">
      <c r="I66" s="13" t="s">
        <v>24</v>
      </c>
      <c r="J66" s="5">
        <v>1.4873000000000001</v>
      </c>
    </row>
    <row r="67" spans="9:10">
      <c r="I67" s="13">
        <v>44439</v>
      </c>
      <c r="J67" s="5">
        <v>1.3088</v>
      </c>
    </row>
    <row r="68" spans="9:10">
      <c r="I68" s="13">
        <v>44408</v>
      </c>
      <c r="J68" s="5">
        <v>1.2222999999999999</v>
      </c>
    </row>
    <row r="69" spans="9:10">
      <c r="I69" s="13">
        <v>44377</v>
      </c>
      <c r="J69" s="5">
        <v>1.468</v>
      </c>
    </row>
    <row r="70" spans="9:10">
      <c r="I70" s="13">
        <v>44347</v>
      </c>
      <c r="J70" s="5">
        <v>1.5943000000000001</v>
      </c>
    </row>
    <row r="71" spans="9:10">
      <c r="I71" s="13">
        <v>44316</v>
      </c>
      <c r="J71" s="5">
        <v>1.6259000000000001</v>
      </c>
    </row>
    <row r="72" spans="9:10">
      <c r="I72" s="13">
        <v>44286</v>
      </c>
      <c r="J72" s="5">
        <v>1.7403999999999999</v>
      </c>
    </row>
    <row r="73" spans="9:10">
      <c r="I73" s="13">
        <v>44253</v>
      </c>
      <c r="J73" s="5">
        <v>1.4049</v>
      </c>
    </row>
    <row r="74" spans="9:10">
      <c r="I74" s="13">
        <v>44225</v>
      </c>
      <c r="J74" s="5">
        <v>1.0655000000000001</v>
      </c>
    </row>
    <row r="75" spans="9:10">
      <c r="I75" s="13">
        <v>44196</v>
      </c>
      <c r="J75" s="5">
        <v>0.91320000000000001</v>
      </c>
    </row>
    <row r="76" spans="9:10">
      <c r="I76" s="13">
        <v>44165</v>
      </c>
      <c r="J76" s="5">
        <v>0.83889999999999998</v>
      </c>
    </row>
    <row r="77" spans="9:10">
      <c r="I77" s="13">
        <v>44134</v>
      </c>
      <c r="J77" s="5">
        <v>0.87370000000000003</v>
      </c>
    </row>
    <row r="78" spans="9:10">
      <c r="I78" s="13">
        <v>44104</v>
      </c>
      <c r="J78" s="5">
        <v>0.68400000000000005</v>
      </c>
    </row>
    <row r="79" spans="9:10">
      <c r="I79" s="13">
        <v>44074</v>
      </c>
      <c r="J79" s="5">
        <v>0.70479999999999998</v>
      </c>
    </row>
    <row r="80" spans="9:10">
      <c r="I80" s="13">
        <v>44043</v>
      </c>
      <c r="J80" s="5">
        <v>0.5282</v>
      </c>
    </row>
    <row r="81" spans="9:10">
      <c r="I81" s="13">
        <v>44012</v>
      </c>
      <c r="J81" s="5">
        <v>0.65610000000000002</v>
      </c>
    </row>
  </sheetData>
  <mergeCells count="1">
    <mergeCell ref="D27:E28"/>
  </mergeCells>
  <phoneticPr fontId="7" type="noConversion"/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AB55E-FDAD-45DE-9BFE-2FE6C60C58AD}">
  <dimension ref="B1:AF73"/>
  <sheetViews>
    <sheetView zoomScale="70" zoomScaleNormal="70" workbookViewId="0">
      <selection activeCell="N43" sqref="A38:N43"/>
    </sheetView>
  </sheetViews>
  <sheetFormatPr defaultRowHeight="16.2"/>
  <cols>
    <col min="1" max="1" width="31.5546875" customWidth="1"/>
    <col min="2" max="2" width="16.21875" customWidth="1"/>
    <col min="3" max="3" width="17" customWidth="1"/>
    <col min="4" max="4" width="28" customWidth="1"/>
    <col min="5" max="5" width="21.44140625" customWidth="1"/>
    <col min="6" max="6" width="20.44140625" customWidth="1"/>
    <col min="7" max="7" width="8.5546875" bestFit="1" customWidth="1"/>
    <col min="9" max="9" width="11.5546875" customWidth="1"/>
    <col min="15" max="15" width="27.21875" customWidth="1"/>
    <col min="16" max="16" width="10" bestFit="1" customWidth="1"/>
    <col min="18" max="18" width="27.109375" customWidth="1"/>
    <col min="19" max="19" width="9.44140625" bestFit="1" customWidth="1"/>
  </cols>
  <sheetData>
    <row r="1" spans="2:32">
      <c r="B1" t="s">
        <v>39</v>
      </c>
      <c r="D1" t="s">
        <v>0</v>
      </c>
      <c r="E1" t="s">
        <v>8</v>
      </c>
      <c r="G1" s="67" t="s">
        <v>49</v>
      </c>
      <c r="H1" s="67" t="s">
        <v>50</v>
      </c>
    </row>
    <row r="2" spans="2:32">
      <c r="C2" t="s">
        <v>25</v>
      </c>
      <c r="D2">
        <v>100</v>
      </c>
    </row>
    <row r="3" spans="2:32">
      <c r="B3" s="38">
        <v>515058.38</v>
      </c>
      <c r="C3" s="37">
        <v>44749</v>
      </c>
      <c r="D3" s="2">
        <f>B3/5000</f>
        <v>103.01167599999999</v>
      </c>
      <c r="E3" s="1">
        <f>(D3-100)/100</f>
        <v>3.0116759999999944E-2</v>
      </c>
      <c r="F3" s="22">
        <f>E3+1</f>
        <v>1.0301167599999999</v>
      </c>
    </row>
    <row r="4" spans="2:32">
      <c r="B4" s="38">
        <v>526213.68000000005</v>
      </c>
      <c r="C4" s="37">
        <v>44780</v>
      </c>
      <c r="D4" s="2">
        <f t="shared" ref="D4:D5" si="0">B4/5000</f>
        <v>105.24273600000001</v>
      </c>
      <c r="E4" s="1">
        <f>D4/D3-1</f>
        <v>2.1658321528522873E-2</v>
      </c>
      <c r="F4" s="22">
        <f>E4+1</f>
        <v>1.0216583215285229</v>
      </c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2:32">
      <c r="B5" s="38">
        <v>499085</v>
      </c>
      <c r="C5" s="54">
        <v>44811</v>
      </c>
      <c r="D5" s="56">
        <f t="shared" si="0"/>
        <v>99.816999999999993</v>
      </c>
      <c r="E5" s="1">
        <f t="shared" ref="E5:E14" si="1">D5/D4-1</f>
        <v>-5.1554493984269034E-2</v>
      </c>
      <c r="F5" s="22">
        <f>E5+1</f>
        <v>0.94844550601573097</v>
      </c>
    </row>
    <row r="6" spans="2:32">
      <c r="B6" s="38">
        <v>784518</v>
      </c>
      <c r="C6" s="37">
        <v>44835</v>
      </c>
      <c r="D6" s="2">
        <f>B6/8000</f>
        <v>98.064750000000004</v>
      </c>
      <c r="E6" s="1">
        <f t="shared" si="1"/>
        <v>-1.755462496368343E-2</v>
      </c>
      <c r="F6" s="22">
        <f t="shared" ref="F6:F13" si="2">E6+1</f>
        <v>0.98244537503631657</v>
      </c>
    </row>
    <row r="7" spans="2:32">
      <c r="B7" s="38">
        <v>788818</v>
      </c>
      <c r="C7" s="37">
        <v>44866</v>
      </c>
      <c r="D7" s="2">
        <f t="shared" ref="D7:D20" si="3">B7/8000</f>
        <v>98.602249999999998</v>
      </c>
      <c r="E7" s="1">
        <f t="shared" si="1"/>
        <v>5.4810724546792144E-3</v>
      </c>
      <c r="F7" s="22">
        <f t="shared" si="2"/>
        <v>1.0054810724546792</v>
      </c>
    </row>
    <row r="8" spans="2:32">
      <c r="B8" s="38">
        <v>764376</v>
      </c>
      <c r="C8" s="54">
        <v>44896</v>
      </c>
      <c r="D8" s="56">
        <f t="shared" si="3"/>
        <v>95.546999999999997</v>
      </c>
      <c r="E8" s="1">
        <f t="shared" si="1"/>
        <v>-3.0985601241350968E-2</v>
      </c>
      <c r="F8" s="22">
        <f t="shared" si="2"/>
        <v>0.96901439875864903</v>
      </c>
      <c r="H8" s="1">
        <f>D8/D2-1</f>
        <v>-4.453000000000007E-2</v>
      </c>
    </row>
    <row r="9" spans="2:32">
      <c r="B9" s="38">
        <v>743817</v>
      </c>
      <c r="C9" s="37">
        <v>44927</v>
      </c>
      <c r="D9" s="2">
        <f t="shared" si="3"/>
        <v>92.977125000000001</v>
      </c>
      <c r="E9" s="1">
        <f t="shared" si="1"/>
        <v>-2.6896448868096279E-2</v>
      </c>
      <c r="F9" s="22">
        <f t="shared" si="2"/>
        <v>0.97310355113190372</v>
      </c>
      <c r="H9" s="1"/>
    </row>
    <row r="10" spans="2:32">
      <c r="B10" s="38">
        <v>689680</v>
      </c>
      <c r="C10" s="37">
        <v>44958</v>
      </c>
      <c r="D10" s="2">
        <f t="shared" si="3"/>
        <v>86.21</v>
      </c>
      <c r="E10" s="1">
        <f t="shared" si="1"/>
        <v>-7.2782687139444358E-2</v>
      </c>
      <c r="F10" s="22">
        <f t="shared" si="2"/>
        <v>0.92721731286055564</v>
      </c>
      <c r="H10" s="1"/>
    </row>
    <row r="11" spans="2:32">
      <c r="B11" s="38">
        <v>671320</v>
      </c>
      <c r="C11" s="54">
        <v>44986</v>
      </c>
      <c r="D11" s="56">
        <f t="shared" si="3"/>
        <v>83.915000000000006</v>
      </c>
      <c r="E11" s="1">
        <f t="shared" si="1"/>
        <v>-2.6621041642500676E-2</v>
      </c>
      <c r="F11" s="22">
        <f t="shared" si="2"/>
        <v>0.97337895835749932</v>
      </c>
      <c r="G11" s="1">
        <f>D11/D8-1</f>
        <v>-0.12174113263629405</v>
      </c>
      <c r="H11" s="1"/>
    </row>
    <row r="12" spans="2:32">
      <c r="B12" s="38">
        <v>629655</v>
      </c>
      <c r="C12" s="58">
        <v>45017</v>
      </c>
      <c r="D12" s="60">
        <f t="shared" si="3"/>
        <v>78.706874999999997</v>
      </c>
      <c r="E12" s="1">
        <f t="shared" si="1"/>
        <v>-6.2064291247095338E-2</v>
      </c>
      <c r="F12" s="22">
        <f t="shared" si="2"/>
        <v>0.93793570875290466</v>
      </c>
      <c r="G12" s="1"/>
      <c r="H12" s="1"/>
    </row>
    <row r="13" spans="2:32">
      <c r="B13" s="38">
        <v>615713</v>
      </c>
      <c r="C13" s="37">
        <v>45047</v>
      </c>
      <c r="D13" s="60">
        <f t="shared" si="3"/>
        <v>76.964124999999996</v>
      </c>
      <c r="E13" s="1">
        <f t="shared" si="1"/>
        <v>-2.2142284266780998E-2</v>
      </c>
      <c r="F13" s="22">
        <f t="shared" si="2"/>
        <v>0.977857715733219</v>
      </c>
      <c r="G13" s="1"/>
      <c r="H13" s="1"/>
    </row>
    <row r="14" spans="2:32">
      <c r="B14" s="38">
        <v>638413</v>
      </c>
      <c r="C14" s="59">
        <v>45078</v>
      </c>
      <c r="D14" s="56">
        <f t="shared" si="3"/>
        <v>79.801625000000001</v>
      </c>
      <c r="E14" s="1">
        <f t="shared" si="1"/>
        <v>3.6867826406134174E-2</v>
      </c>
      <c r="F14" s="22">
        <f>E14+1</f>
        <v>1.0368678264061342</v>
      </c>
      <c r="G14" s="1">
        <f>D14/D11-1</f>
        <v>-4.9018351903712176E-2</v>
      </c>
      <c r="H14" s="1">
        <f>D14/D8-1</f>
        <v>-0.1647919348592839</v>
      </c>
    </row>
    <row r="15" spans="2:32">
      <c r="B15" s="38">
        <v>696245</v>
      </c>
      <c r="C15" s="58">
        <v>45108</v>
      </c>
      <c r="D15" s="60">
        <f t="shared" si="3"/>
        <v>87.030625000000001</v>
      </c>
      <c r="E15" s="1">
        <f>D15/D14-1</f>
        <v>9.0587127768388065E-2</v>
      </c>
      <c r="F15" s="22">
        <f t="shared" ref="F15:F16" si="4">E15+1</f>
        <v>1.0905871277683881</v>
      </c>
      <c r="G15" s="1"/>
      <c r="H15" s="1"/>
    </row>
    <row r="16" spans="2:32">
      <c r="B16" s="38">
        <v>645317</v>
      </c>
      <c r="C16" s="37">
        <v>45139</v>
      </c>
      <c r="D16" s="60">
        <f t="shared" si="3"/>
        <v>80.664625000000001</v>
      </c>
      <c r="E16" s="1">
        <f t="shared" ref="E16" si="5">D16/D15-1</f>
        <v>-7.3146665326142335E-2</v>
      </c>
      <c r="F16" s="22">
        <f t="shared" si="4"/>
        <v>0.92685333467385767</v>
      </c>
      <c r="G16" s="1"/>
      <c r="H16" s="1"/>
    </row>
    <row r="17" spans="2:18">
      <c r="B17" s="38">
        <v>609314</v>
      </c>
      <c r="C17" s="59">
        <v>45170</v>
      </c>
      <c r="D17" s="56">
        <f t="shared" si="3"/>
        <v>76.164249999999996</v>
      </c>
      <c r="E17" s="1">
        <f>D17/D16-1</f>
        <v>-5.5791184797549187E-2</v>
      </c>
      <c r="F17" s="22">
        <f>E17+1</f>
        <v>0.94420881520245081</v>
      </c>
      <c r="G17" s="1">
        <f>D17/D14-1</f>
        <v>-4.5580212182396052E-2</v>
      </c>
      <c r="H17" s="1">
        <f>D17/D8-1</f>
        <v>-0.20286089568484622</v>
      </c>
    </row>
    <row r="18" spans="2:18">
      <c r="B18" s="38">
        <v>585753</v>
      </c>
      <c r="C18" s="58">
        <v>45200</v>
      </c>
      <c r="D18" s="60">
        <f t="shared" si="3"/>
        <v>73.219125000000005</v>
      </c>
      <c r="E18" s="1">
        <f t="shared" ref="E18:E20" si="6">D18/D17-1</f>
        <v>-3.8668075901751697E-2</v>
      </c>
      <c r="F18" s="22">
        <f t="shared" ref="F18:F20" si="7">E18+1</f>
        <v>0.9613319240982483</v>
      </c>
      <c r="G18" s="1"/>
      <c r="H18" s="1"/>
    </row>
    <row r="19" spans="2:18">
      <c r="B19" s="38">
        <v>545974</v>
      </c>
      <c r="C19" s="37">
        <v>45231</v>
      </c>
      <c r="D19" s="60">
        <f t="shared" si="3"/>
        <v>68.246750000000006</v>
      </c>
      <c r="E19" s="1">
        <f t="shared" si="6"/>
        <v>-6.7910877110317847E-2</v>
      </c>
      <c r="F19" s="22">
        <f t="shared" si="7"/>
        <v>0.93208912288968215</v>
      </c>
      <c r="G19" s="1"/>
      <c r="H19" s="1"/>
    </row>
    <row r="20" spans="2:18">
      <c r="B20" s="38">
        <v>630785</v>
      </c>
      <c r="C20" s="59">
        <v>45261</v>
      </c>
      <c r="D20" s="56">
        <f t="shared" si="3"/>
        <v>78.848124999999996</v>
      </c>
      <c r="E20" s="1">
        <f t="shared" si="6"/>
        <v>0.15533889892192643</v>
      </c>
      <c r="F20" s="22">
        <f t="shared" si="7"/>
        <v>1.1553388989219264</v>
      </c>
      <c r="G20" s="1">
        <f>D20/D17-1</f>
        <v>3.5237988951509314E-2</v>
      </c>
      <c r="H20" s="1">
        <f>D20/D8-1</f>
        <v>-0.17477131673417268</v>
      </c>
    </row>
    <row r="21" spans="2:18" ht="16.8" thickBot="1">
      <c r="C21" s="3"/>
      <c r="E21" s="27"/>
      <c r="H21" s="1"/>
    </row>
    <row r="22" spans="2:18">
      <c r="D22" s="82" t="s">
        <v>4</v>
      </c>
      <c r="E22" s="83"/>
    </row>
    <row r="23" spans="2:18">
      <c r="D23" s="84"/>
      <c r="E23" s="85"/>
      <c r="G23" s="1"/>
    </row>
    <row r="24" spans="2:18">
      <c r="D24" s="14" t="s">
        <v>6</v>
      </c>
      <c r="E24" s="23">
        <v>44749</v>
      </c>
      <c r="G24" s="66"/>
    </row>
    <row r="25" spans="2:18">
      <c r="D25" s="14" t="s">
        <v>7</v>
      </c>
      <c r="E25" s="23">
        <v>45289</v>
      </c>
      <c r="G25" s="66"/>
    </row>
    <row r="26" spans="2:18">
      <c r="D26" s="61" t="s">
        <v>1</v>
      </c>
      <c r="E26" s="4">
        <f>(D20-100)/100</f>
        <v>-0.21151875000000003</v>
      </c>
      <c r="F26" s="64" t="str">
        <f ca="1">_xlfn.FORMULATEXT(E26)</f>
        <v>=(D20-100)/100</v>
      </c>
      <c r="O26" s="12"/>
      <c r="P26" s="19"/>
      <c r="R26" s="29"/>
    </row>
    <row r="27" spans="2:18">
      <c r="D27" s="62" t="s">
        <v>2</v>
      </c>
      <c r="E27" s="4">
        <f>(D20-D8)/D8</f>
        <v>-0.17477131673417273</v>
      </c>
      <c r="F27" s="64" t="str">
        <f t="shared" ref="F27:F37" ca="1" si="8">_xlfn.FORMULATEXT(E27)</f>
        <v>=(D20-D8)/D8</v>
      </c>
      <c r="O27" s="12"/>
      <c r="P27" s="19"/>
    </row>
    <row r="28" spans="2:18">
      <c r="D28" s="62" t="s">
        <v>36</v>
      </c>
      <c r="E28" s="4">
        <f>STDEVA(E3:E20)</f>
        <v>6.054190359552776E-2</v>
      </c>
      <c r="F28" s="64" t="str">
        <f t="shared" ca="1" si="8"/>
        <v>=STDEVA(E3:E20)</v>
      </c>
      <c r="I28" t="s">
        <v>9</v>
      </c>
      <c r="J28" t="s">
        <v>42</v>
      </c>
      <c r="O28" s="30" t="s">
        <v>32</v>
      </c>
      <c r="P28" s="47">
        <f>E26</f>
        <v>-0.21151875000000003</v>
      </c>
    </row>
    <row r="29" spans="2:18">
      <c r="D29" s="62" t="s">
        <v>35</v>
      </c>
      <c r="E29" s="4">
        <f>STDEVA(E9:E20)</f>
        <v>7.2058677794110002E-2</v>
      </c>
      <c r="F29" s="64" t="str">
        <f t="shared" ca="1" si="8"/>
        <v>=STDEVA(E9:E20)</v>
      </c>
      <c r="I29">
        <f>AVERAGE(J31:J42)</f>
        <v>3.9641666666666668</v>
      </c>
      <c r="O29" s="29" t="s">
        <v>33</v>
      </c>
      <c r="P29" s="47">
        <f>E27</f>
        <v>-0.17477131673417273</v>
      </c>
    </row>
    <row r="30" spans="2:18">
      <c r="B30" s="6"/>
      <c r="D30" s="62" t="s">
        <v>13</v>
      </c>
      <c r="E30" s="7">
        <f>E25-E24</f>
        <v>540</v>
      </c>
      <c r="F30" t="str">
        <f ca="1">_xlfn.FORMULATEXT(E30)</f>
        <v>=E25-E24</v>
      </c>
      <c r="I30" s="5" t="s">
        <v>10</v>
      </c>
      <c r="J30" s="65" t="s">
        <v>48</v>
      </c>
      <c r="K30" s="5"/>
      <c r="O30" s="30" t="s">
        <v>20</v>
      </c>
      <c r="P30" s="47">
        <f>E31</f>
        <v>-0.14651823458698932</v>
      </c>
    </row>
    <row r="31" spans="2:18">
      <c r="D31" s="62" t="s">
        <v>12</v>
      </c>
      <c r="E31" s="4">
        <f>(PRODUCT(F3:F20))^(12/COUNT(F3:F20))-1</f>
        <v>-0.14651823458698932</v>
      </c>
      <c r="F31" s="64" t="str">
        <f t="shared" ca="1" si="8"/>
        <v>=(PRODUCT(F3:F20))^(12/COUNT(F3:F20))-1</v>
      </c>
      <c r="I31" s="13">
        <v>45289</v>
      </c>
      <c r="J31">
        <v>3.8791000000000002</v>
      </c>
      <c r="K31" s="5"/>
      <c r="O31" s="29" t="s">
        <v>45</v>
      </c>
      <c r="P31" s="48">
        <f>E40</f>
        <v>0.33333333333333331</v>
      </c>
    </row>
    <row r="32" spans="2:18">
      <c r="D32" s="62" t="s">
        <v>47</v>
      </c>
      <c r="E32" s="8">
        <f>MAX(E3:E20)</f>
        <v>0.15533889892192643</v>
      </c>
      <c r="F32" s="64" t="str">
        <f t="shared" ca="1" si="8"/>
        <v>=MAX(E3:E20)</v>
      </c>
      <c r="I32" s="13">
        <v>45260</v>
      </c>
      <c r="J32">
        <v>4.3263999999999996</v>
      </c>
      <c r="O32" s="30" t="s">
        <v>43</v>
      </c>
      <c r="P32" s="48">
        <f>E41</f>
        <v>0.66666666666666663</v>
      </c>
    </row>
    <row r="33" spans="4:16">
      <c r="D33" s="62" t="s">
        <v>44</v>
      </c>
      <c r="E33" s="8">
        <f>MIN(E3:E20)</f>
        <v>-7.3146665326142335E-2</v>
      </c>
      <c r="F33" s="64" t="str">
        <f t="shared" ca="1" si="8"/>
        <v>=MIN(E3:E20)</v>
      </c>
      <c r="I33" s="13">
        <v>45230</v>
      </c>
      <c r="J33">
        <v>4.9306999999999999</v>
      </c>
      <c r="O33" s="29" t="s">
        <v>21</v>
      </c>
      <c r="P33" s="47">
        <f>E34</f>
        <v>0.20972330602878195</v>
      </c>
    </row>
    <row r="34" spans="4:16">
      <c r="D34" s="62" t="s">
        <v>17</v>
      </c>
      <c r="E34" s="4">
        <f>E28*SQRT(12)</f>
        <v>0.20972330602878195</v>
      </c>
      <c r="F34" t="str">
        <f ca="1">_xlfn.FORMULATEXT(E34)</f>
        <v>=E28*SQRT(12)</v>
      </c>
      <c r="I34" s="13">
        <v>45198</v>
      </c>
      <c r="J34">
        <v>4.5711000000000004</v>
      </c>
      <c r="O34" s="30" t="s">
        <v>22</v>
      </c>
      <c r="P34" s="49">
        <f>E37</f>
        <v>-0.8876452730919081</v>
      </c>
    </row>
    <row r="35" spans="4:16">
      <c r="D35" s="62" t="s">
        <v>18</v>
      </c>
      <c r="E35" s="4">
        <f>E29*SQRT(12)</f>
        <v>0.2496185821312675</v>
      </c>
      <c r="F35" t="str">
        <f t="shared" ca="1" si="8"/>
        <v>=E29*SQRT(12)</v>
      </c>
      <c r="I35" s="13">
        <v>45169</v>
      </c>
      <c r="J35">
        <v>4.1081000000000003</v>
      </c>
      <c r="K35" s="5"/>
      <c r="O35" s="29"/>
      <c r="P35" s="35"/>
    </row>
    <row r="36" spans="4:16">
      <c r="D36" s="62" t="s">
        <v>5</v>
      </c>
      <c r="E36" s="4">
        <f>I29/100</f>
        <v>3.9641666666666665E-2</v>
      </c>
      <c r="F36" t="str">
        <f ca="1">_xlfn.FORMULATEXT(E36)</f>
        <v>=I29/100</v>
      </c>
      <c r="I36" s="13">
        <v>45138</v>
      </c>
      <c r="J36">
        <v>3.9588000000000001</v>
      </c>
      <c r="K36" s="5"/>
      <c r="P36" s="46"/>
    </row>
    <row r="37" spans="4:16">
      <c r="D37" s="62" t="s">
        <v>3</v>
      </c>
      <c r="E37" s="26">
        <f>(E31-E36)/E34</f>
        <v>-0.8876452730919081</v>
      </c>
      <c r="F37" t="str">
        <f t="shared" ca="1" si="8"/>
        <v>=(E31-E36)/E34</v>
      </c>
      <c r="I37" s="13">
        <v>45107</v>
      </c>
      <c r="J37">
        <v>3.8367</v>
      </c>
      <c r="K37" s="5"/>
      <c r="O37" s="12"/>
      <c r="P37" s="19"/>
    </row>
    <row r="38" spans="4:16">
      <c r="D38" s="62" t="s">
        <v>19</v>
      </c>
      <c r="E38" s="4">
        <f>D13/D7-1</f>
        <v>-0.21944859270452755</v>
      </c>
      <c r="F38" s="64" t="str">
        <f ca="1">_xlfn.FORMULATEXT(E38)</f>
        <v>=D13/D7-1</v>
      </c>
      <c r="I38" s="13">
        <v>45077</v>
      </c>
      <c r="J38">
        <v>3.6425999999999998</v>
      </c>
      <c r="K38" s="5"/>
    </row>
    <row r="39" spans="4:16">
      <c r="D39" s="62" t="s">
        <v>14</v>
      </c>
      <c r="E39" s="7">
        <f>COUNT(E3:E20)</f>
        <v>18</v>
      </c>
      <c r="F39" s="64" t="str">
        <f ca="1">_xlfn.FORMULATEXT(E39)</f>
        <v>=COUNT(E3:E20)</v>
      </c>
      <c r="I39" s="13">
        <v>45044</v>
      </c>
      <c r="J39">
        <v>3.4220000000000002</v>
      </c>
      <c r="K39" s="5"/>
    </row>
    <row r="40" spans="4:16">
      <c r="D40" s="62" t="s">
        <v>15</v>
      </c>
      <c r="E40" s="51">
        <f>COUNTIF(E3:E20,"&gt;0")/E39</f>
        <v>0.33333333333333331</v>
      </c>
      <c r="F40" s="64" t="str">
        <f ca="1">_xlfn.FORMULATEXT(E40)</f>
        <v>=COUNTIF(E3:E20,"&gt;0")/E39</v>
      </c>
      <c r="I40" s="13">
        <v>45016</v>
      </c>
      <c r="J40" s="5">
        <v>3.4676</v>
      </c>
      <c r="K40" s="5"/>
    </row>
    <row r="41" spans="4:16" ht="16.8" thickBot="1">
      <c r="D41" s="63" t="s">
        <v>16</v>
      </c>
      <c r="E41" s="53">
        <f>COUNTIF(E3:E20,"&lt;0")/E39</f>
        <v>0.66666666666666663</v>
      </c>
      <c r="F41" s="64" t="str">
        <f ca="1">_xlfn.FORMULATEXT(E41)</f>
        <v>=COUNTIF(E3:E20,"&lt;0")/E39</v>
      </c>
      <c r="I41" s="13">
        <v>44985</v>
      </c>
      <c r="J41" s="5">
        <v>3.92</v>
      </c>
      <c r="K41" s="5"/>
    </row>
    <row r="42" spans="4:16">
      <c r="I42" s="13">
        <v>44957</v>
      </c>
      <c r="J42" s="5">
        <v>3.5068999999999999</v>
      </c>
      <c r="K42" s="5"/>
    </row>
    <row r="43" spans="4:16">
      <c r="I43" s="13">
        <v>44925</v>
      </c>
      <c r="J43" s="5">
        <v>3.8748</v>
      </c>
      <c r="K43" s="5"/>
    </row>
    <row r="44" spans="4:16">
      <c r="I44" s="13">
        <v>44895</v>
      </c>
      <c r="J44" s="5">
        <v>3.6053999999999999</v>
      </c>
      <c r="K44" s="5"/>
    </row>
    <row r="45" spans="4:16">
      <c r="I45" s="25">
        <v>44865</v>
      </c>
      <c r="J45" s="5">
        <v>4.0477999999999996</v>
      </c>
      <c r="K45" s="5"/>
    </row>
    <row r="46" spans="4:16">
      <c r="I46" s="13">
        <v>44834</v>
      </c>
      <c r="J46" s="5">
        <v>3.8285999999999998</v>
      </c>
      <c r="K46" s="5"/>
    </row>
    <row r="47" spans="4:16">
      <c r="I47" s="13">
        <v>44804</v>
      </c>
      <c r="J47" s="5">
        <v>3.1926000000000001</v>
      </c>
    </row>
    <row r="48" spans="4:16">
      <c r="I48" s="13">
        <v>44772</v>
      </c>
      <c r="J48" s="5">
        <v>2.6486999999999998</v>
      </c>
    </row>
    <row r="49" spans="9:10">
      <c r="I49" s="13">
        <v>44742</v>
      </c>
      <c r="J49" s="5">
        <v>3.0129000000000001</v>
      </c>
    </row>
    <row r="50" spans="9:10">
      <c r="I50" s="13">
        <v>44711</v>
      </c>
      <c r="J50" s="5">
        <v>2.8441000000000001</v>
      </c>
    </row>
    <row r="51" spans="9:10">
      <c r="I51" s="13">
        <v>44680</v>
      </c>
      <c r="J51" s="5">
        <v>2.9336000000000002</v>
      </c>
    </row>
    <row r="52" spans="9:10">
      <c r="I52" s="13">
        <v>44651</v>
      </c>
      <c r="J52" s="5">
        <v>2.3433999999999999</v>
      </c>
    </row>
    <row r="53" spans="9:10">
      <c r="I53" s="13">
        <v>44620</v>
      </c>
      <c r="J53" s="5">
        <v>1.825</v>
      </c>
    </row>
    <row r="54" spans="9:10">
      <c r="I54" s="13">
        <v>44592</v>
      </c>
      <c r="J54" s="5">
        <v>1.7766999999999999</v>
      </c>
    </row>
    <row r="55" spans="9:10">
      <c r="I55" s="13">
        <v>44561</v>
      </c>
      <c r="J55" s="5">
        <v>1.5101</v>
      </c>
    </row>
    <row r="56" spans="9:10">
      <c r="I56" s="13">
        <v>44530</v>
      </c>
      <c r="J56" s="5">
        <v>1.4442999999999999</v>
      </c>
    </row>
    <row r="57" spans="9:10">
      <c r="I57" s="13">
        <v>44498</v>
      </c>
      <c r="J57" s="5">
        <v>1.5521</v>
      </c>
    </row>
    <row r="58" spans="9:10">
      <c r="I58" s="13" t="s">
        <v>24</v>
      </c>
      <c r="J58" s="5">
        <v>1.4873000000000001</v>
      </c>
    </row>
    <row r="59" spans="9:10">
      <c r="I59" s="13">
        <v>44439</v>
      </c>
      <c r="J59" s="5">
        <v>1.3088</v>
      </c>
    </row>
    <row r="60" spans="9:10">
      <c r="I60" s="13">
        <v>44408</v>
      </c>
      <c r="J60" s="5">
        <v>1.2222999999999999</v>
      </c>
    </row>
    <row r="61" spans="9:10">
      <c r="I61" s="13">
        <v>44377</v>
      </c>
      <c r="J61" s="5">
        <v>1.468</v>
      </c>
    </row>
    <row r="62" spans="9:10">
      <c r="I62" s="13">
        <v>44347</v>
      </c>
      <c r="J62" s="5">
        <v>1.5943000000000001</v>
      </c>
    </row>
    <row r="63" spans="9:10">
      <c r="I63" s="13">
        <v>44316</v>
      </c>
      <c r="J63" s="5">
        <v>1.6259000000000001</v>
      </c>
    </row>
    <row r="64" spans="9:10">
      <c r="I64" s="13">
        <v>44286</v>
      </c>
      <c r="J64" s="5">
        <v>1.7403999999999999</v>
      </c>
    </row>
    <row r="65" spans="9:10">
      <c r="I65" s="13">
        <v>44253</v>
      </c>
      <c r="J65" s="5">
        <v>1.4049</v>
      </c>
    </row>
    <row r="66" spans="9:10">
      <c r="I66" s="13">
        <v>44225</v>
      </c>
      <c r="J66" s="5">
        <v>1.0655000000000001</v>
      </c>
    </row>
    <row r="67" spans="9:10">
      <c r="I67" s="13">
        <v>44196</v>
      </c>
      <c r="J67" s="5">
        <v>0.91320000000000001</v>
      </c>
    </row>
    <row r="68" spans="9:10">
      <c r="I68" s="13">
        <v>44165</v>
      </c>
      <c r="J68" s="5">
        <v>0.83889999999999998</v>
      </c>
    </row>
    <row r="69" spans="9:10">
      <c r="I69" s="13">
        <v>44134</v>
      </c>
      <c r="J69" s="5">
        <v>0.87370000000000003</v>
      </c>
    </row>
    <row r="70" spans="9:10">
      <c r="I70" s="13">
        <v>44104</v>
      </c>
      <c r="J70" s="5">
        <v>0.68400000000000005</v>
      </c>
    </row>
    <row r="71" spans="9:10">
      <c r="I71" s="13">
        <v>44074</v>
      </c>
      <c r="J71" s="5">
        <v>0.70479999999999998</v>
      </c>
    </row>
    <row r="72" spans="9:10">
      <c r="I72" s="13">
        <v>44043</v>
      </c>
      <c r="J72" s="5">
        <v>0.5282</v>
      </c>
    </row>
    <row r="73" spans="9:10">
      <c r="I73" s="13">
        <v>44012</v>
      </c>
      <c r="J73" s="5">
        <v>0.65610000000000002</v>
      </c>
    </row>
  </sheetData>
  <mergeCells count="1">
    <mergeCell ref="D22:E23"/>
  </mergeCells>
  <phoneticPr fontId="30" type="noConversion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2F1DE-E14D-4BC7-98A6-A67140F01C46}">
  <dimension ref="B1:AF68"/>
  <sheetViews>
    <sheetView topLeftCell="B18" zoomScale="85" zoomScaleNormal="85" workbookViewId="0">
      <selection activeCell="E34" sqref="E34"/>
    </sheetView>
  </sheetViews>
  <sheetFormatPr defaultRowHeight="16.2"/>
  <cols>
    <col min="1" max="1" width="31.5546875" customWidth="1"/>
    <col min="2" max="2" width="16.21875" customWidth="1"/>
    <col min="3" max="3" width="17" customWidth="1"/>
    <col min="4" max="4" width="28" customWidth="1"/>
    <col min="5" max="5" width="21.44140625" customWidth="1"/>
    <col min="6" max="6" width="20.44140625" customWidth="1"/>
    <col min="7" max="7" width="23.6640625" customWidth="1"/>
    <col min="9" max="9" width="11.5546875" customWidth="1"/>
    <col min="15" max="15" width="27.21875" customWidth="1"/>
    <col min="16" max="16" width="10" bestFit="1" customWidth="1"/>
    <col min="18" max="18" width="27.109375" customWidth="1"/>
    <col min="19" max="19" width="9.44140625" bestFit="1" customWidth="1"/>
  </cols>
  <sheetData>
    <row r="1" spans="2:32">
      <c r="B1" t="s">
        <v>39</v>
      </c>
      <c r="D1" t="s">
        <v>0</v>
      </c>
      <c r="E1" t="s">
        <v>8</v>
      </c>
    </row>
    <row r="2" spans="2:32">
      <c r="C2" t="s">
        <v>25</v>
      </c>
      <c r="D2">
        <v>100</v>
      </c>
    </row>
    <row r="3" spans="2:32">
      <c r="B3" s="38">
        <v>515058.38</v>
      </c>
      <c r="C3" s="37">
        <v>44749</v>
      </c>
      <c r="D3" s="2">
        <f>B3/5000</f>
        <v>103.01167599999999</v>
      </c>
      <c r="E3" s="1">
        <f>(D3-100)/100</f>
        <v>3.0116759999999944E-2</v>
      </c>
      <c r="F3" s="22">
        <f>E3+1</f>
        <v>1.0301167599999999</v>
      </c>
    </row>
    <row r="4" spans="2:32">
      <c r="B4" s="38">
        <v>526213.68000000005</v>
      </c>
      <c r="C4" s="37">
        <v>44780</v>
      </c>
      <c r="D4" s="2">
        <f t="shared" ref="D4:D5" si="0">B4/5000</f>
        <v>105.24273600000001</v>
      </c>
      <c r="E4" s="1">
        <f>D4/D3-1</f>
        <v>2.1658321528522873E-2</v>
      </c>
      <c r="F4" s="22">
        <f>E4+1</f>
        <v>1.0216583215285229</v>
      </c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2:32">
      <c r="B5" s="38">
        <v>499085</v>
      </c>
      <c r="C5" s="54">
        <v>44811</v>
      </c>
      <c r="D5" s="56">
        <f t="shared" si="0"/>
        <v>99.816999999999993</v>
      </c>
      <c r="E5" s="1">
        <f t="shared" ref="E5:E14" si="1">D5/D4-1</f>
        <v>-5.1554493984269034E-2</v>
      </c>
      <c r="F5" s="22">
        <f>E5+1</f>
        <v>0.94844550601573097</v>
      </c>
    </row>
    <row r="6" spans="2:32">
      <c r="B6" s="38">
        <v>784518</v>
      </c>
      <c r="C6" s="37">
        <v>44835</v>
      </c>
      <c r="D6" s="2">
        <f>B6/8000</f>
        <v>98.064750000000004</v>
      </c>
      <c r="E6" s="1">
        <f t="shared" si="1"/>
        <v>-1.755462496368343E-2</v>
      </c>
      <c r="F6" s="22">
        <f t="shared" ref="F6:F13" si="2">E6+1</f>
        <v>0.98244537503631657</v>
      </c>
    </row>
    <row r="7" spans="2:32">
      <c r="B7" s="38">
        <v>788818</v>
      </c>
      <c r="C7" s="37">
        <v>44866</v>
      </c>
      <c r="D7" s="2">
        <f t="shared" ref="D7:D14" si="3">B7/8000</f>
        <v>98.602249999999998</v>
      </c>
      <c r="E7" s="1">
        <f t="shared" si="1"/>
        <v>5.4810724546792144E-3</v>
      </c>
      <c r="F7" s="22">
        <f t="shared" si="2"/>
        <v>1.0054810724546792</v>
      </c>
    </row>
    <row r="8" spans="2:32">
      <c r="B8" s="38">
        <v>764376</v>
      </c>
      <c r="C8" s="54">
        <v>44896</v>
      </c>
      <c r="D8" s="56">
        <f t="shared" si="3"/>
        <v>95.546999999999997</v>
      </c>
      <c r="E8" s="1">
        <f t="shared" si="1"/>
        <v>-3.0985601241350968E-2</v>
      </c>
      <c r="F8" s="22">
        <f t="shared" si="2"/>
        <v>0.96901439875864903</v>
      </c>
    </row>
    <row r="9" spans="2:32">
      <c r="B9" s="38">
        <v>743817</v>
      </c>
      <c r="C9" s="37">
        <v>44927</v>
      </c>
      <c r="D9" s="2">
        <f t="shared" si="3"/>
        <v>92.977125000000001</v>
      </c>
      <c r="E9" s="1">
        <f t="shared" si="1"/>
        <v>-2.6896448868096279E-2</v>
      </c>
      <c r="F9" s="22">
        <f t="shared" si="2"/>
        <v>0.97310355113190372</v>
      </c>
    </row>
    <row r="10" spans="2:32">
      <c r="B10" s="38">
        <v>689680</v>
      </c>
      <c r="C10" s="37">
        <v>44958</v>
      </c>
      <c r="D10" s="2">
        <f t="shared" si="3"/>
        <v>86.21</v>
      </c>
      <c r="E10" s="1">
        <f t="shared" si="1"/>
        <v>-7.2782687139444358E-2</v>
      </c>
      <c r="F10" s="22">
        <f t="shared" si="2"/>
        <v>0.92721731286055564</v>
      </c>
    </row>
    <row r="11" spans="2:32">
      <c r="B11" s="38">
        <v>671320</v>
      </c>
      <c r="C11" s="54">
        <v>44986</v>
      </c>
      <c r="D11" s="56">
        <f t="shared" si="3"/>
        <v>83.915000000000006</v>
      </c>
      <c r="E11" s="1">
        <f t="shared" si="1"/>
        <v>-2.6621041642500676E-2</v>
      </c>
      <c r="F11" s="22">
        <f t="shared" si="2"/>
        <v>0.97337895835749932</v>
      </c>
      <c r="G11" s="1">
        <f>D11/D8-1</f>
        <v>-0.12174113263629405</v>
      </c>
    </row>
    <row r="12" spans="2:32">
      <c r="B12" s="38">
        <v>629655</v>
      </c>
      <c r="C12" s="58">
        <v>45017</v>
      </c>
      <c r="D12" s="60">
        <f t="shared" si="3"/>
        <v>78.706874999999997</v>
      </c>
      <c r="E12" s="1">
        <f t="shared" si="1"/>
        <v>-6.2064291247095338E-2</v>
      </c>
      <c r="F12" s="22">
        <f t="shared" si="2"/>
        <v>0.93793570875290466</v>
      </c>
      <c r="G12" s="1"/>
    </row>
    <row r="13" spans="2:32">
      <c r="B13" s="38">
        <v>615713</v>
      </c>
      <c r="C13" s="37">
        <v>45047</v>
      </c>
      <c r="D13" s="60">
        <f t="shared" si="3"/>
        <v>76.964124999999996</v>
      </c>
      <c r="E13" s="1">
        <f t="shared" si="1"/>
        <v>-2.2142284266780998E-2</v>
      </c>
      <c r="F13" s="22">
        <f t="shared" si="2"/>
        <v>0.977857715733219</v>
      </c>
      <c r="G13" s="1"/>
    </row>
    <row r="14" spans="2:32">
      <c r="B14" s="38">
        <v>638413</v>
      </c>
      <c r="C14" s="59">
        <v>45078</v>
      </c>
      <c r="D14" s="56">
        <f t="shared" si="3"/>
        <v>79.801625000000001</v>
      </c>
      <c r="E14" s="1">
        <f t="shared" si="1"/>
        <v>3.6867826406134174E-2</v>
      </c>
      <c r="F14" s="22">
        <f>E14+1</f>
        <v>1.0368678264061342</v>
      </c>
      <c r="G14" s="1">
        <f>D14/D11-1</f>
        <v>-4.9018351903712176E-2</v>
      </c>
    </row>
    <row r="15" spans="2:32">
      <c r="B15" s="38">
        <v>696245</v>
      </c>
      <c r="C15" s="58">
        <v>45108</v>
      </c>
      <c r="D15" s="60">
        <f t="shared" ref="D15:D17" si="4">B15/8000</f>
        <v>87.030625000000001</v>
      </c>
      <c r="E15" s="1">
        <f>D15/D14-1</f>
        <v>9.0587127768388065E-2</v>
      </c>
      <c r="F15" s="22">
        <f t="shared" ref="F15:F17" si="5">E15+1</f>
        <v>1.0905871277683881</v>
      </c>
      <c r="G15" s="1"/>
    </row>
    <row r="16" spans="2:32">
      <c r="B16" s="38">
        <v>645317</v>
      </c>
      <c r="C16" s="37">
        <v>45139</v>
      </c>
      <c r="D16" s="60">
        <f t="shared" si="4"/>
        <v>80.664625000000001</v>
      </c>
      <c r="E16" s="1">
        <f t="shared" ref="E16" si="6">D16/D15-1</f>
        <v>-7.3146665326142335E-2</v>
      </c>
      <c r="F16" s="22">
        <f t="shared" si="5"/>
        <v>0.92685333467385767</v>
      </c>
      <c r="G16" s="1"/>
    </row>
    <row r="17" spans="2:18">
      <c r="B17" s="38">
        <v>609314</v>
      </c>
      <c r="C17" s="59">
        <v>45170</v>
      </c>
      <c r="D17" s="56">
        <f t="shared" si="4"/>
        <v>76.164249999999996</v>
      </c>
      <c r="E17" s="1">
        <f>D17/D16-1</f>
        <v>-5.5791184797549187E-2</v>
      </c>
      <c r="F17" s="22">
        <f t="shared" si="5"/>
        <v>0.94420881520245081</v>
      </c>
      <c r="G17" s="1">
        <f>D17/D14-1</f>
        <v>-4.5580212182396052E-2</v>
      </c>
    </row>
    <row r="18" spans="2:18">
      <c r="C18" s="3"/>
      <c r="D18" s="2"/>
      <c r="E18" s="27"/>
      <c r="F18" s="22"/>
    </row>
    <row r="19" spans="2:18" ht="16.8" thickBot="1">
      <c r="C19" s="3"/>
      <c r="E19" s="27"/>
    </row>
    <row r="20" spans="2:18">
      <c r="D20" s="82" t="s">
        <v>4</v>
      </c>
      <c r="E20" s="83"/>
    </row>
    <row r="21" spans="2:18">
      <c r="D21" s="84"/>
      <c r="E21" s="85"/>
      <c r="G21" s="1"/>
    </row>
    <row r="22" spans="2:18">
      <c r="D22" s="14" t="s">
        <v>6</v>
      </c>
      <c r="E22" s="23">
        <v>44749</v>
      </c>
      <c r="G22" s="66"/>
    </row>
    <row r="23" spans="2:18">
      <c r="D23" s="14" t="s">
        <v>7</v>
      </c>
      <c r="E23" s="23">
        <v>45198</v>
      </c>
      <c r="G23" s="66"/>
    </row>
    <row r="24" spans="2:18">
      <c r="D24" s="61" t="s">
        <v>1</v>
      </c>
      <c r="E24" s="4">
        <f>(D17-100)/100</f>
        <v>-0.23835750000000006</v>
      </c>
      <c r="F24" s="64" t="str">
        <f ca="1">_xlfn.FORMULATEXT(E24)</f>
        <v>=(D17-100)/100</v>
      </c>
      <c r="O24" s="12"/>
      <c r="P24" s="19"/>
      <c r="R24" s="29"/>
    </row>
    <row r="25" spans="2:18">
      <c r="D25" s="62" t="s">
        <v>2</v>
      </c>
      <c r="E25" s="4">
        <f>(D17-D8)/D8</f>
        <v>-0.20286089568484622</v>
      </c>
      <c r="F25" s="64" t="str">
        <f t="shared" ref="F25:F35" ca="1" si="7">_xlfn.FORMULATEXT(E25)</f>
        <v>=(D17-D8)/D8</v>
      </c>
      <c r="O25" s="12"/>
      <c r="P25" s="19"/>
    </row>
    <row r="26" spans="2:18">
      <c r="D26" s="62" t="s">
        <v>36</v>
      </c>
      <c r="E26" s="4">
        <f>STDEVA(E3:E17)</f>
        <v>4.6370520069794308E-2</v>
      </c>
      <c r="F26" s="64" t="str">
        <f t="shared" ca="1" si="7"/>
        <v>=STDEVA(E3:E17)</v>
      </c>
      <c r="I26" t="s">
        <v>9</v>
      </c>
      <c r="J26" t="s">
        <v>42</v>
      </c>
      <c r="O26" s="30" t="s">
        <v>32</v>
      </c>
      <c r="P26" s="47">
        <f>E24</f>
        <v>-0.23835750000000006</v>
      </c>
    </row>
    <row r="27" spans="2:18">
      <c r="D27" s="62" t="s">
        <v>35</v>
      </c>
      <c r="E27" s="4">
        <f>STDEVA(E6:E17)</f>
        <v>4.765169159957542E-2</v>
      </c>
      <c r="F27" s="64" t="str">
        <f t="shared" ca="1" si="7"/>
        <v>=STDEVA(E6:E17)</v>
      </c>
      <c r="I27">
        <f>AVERAGE(J29:J40)</f>
        <v>3.8301500000000011</v>
      </c>
      <c r="O27" s="29" t="s">
        <v>33</v>
      </c>
      <c r="P27" s="47">
        <f>E25</f>
        <v>-0.20286089568484622</v>
      </c>
    </row>
    <row r="28" spans="2:18">
      <c r="B28" s="6"/>
      <c r="D28" s="62" t="s">
        <v>13</v>
      </c>
      <c r="E28" s="7">
        <f>E23-E22</f>
        <v>449</v>
      </c>
      <c r="F28" t="str">
        <f ca="1">_xlfn.FORMULATEXT(E28)</f>
        <v>=E23-E22</v>
      </c>
      <c r="I28" s="5" t="s">
        <v>10</v>
      </c>
      <c r="J28" s="65" t="s">
        <v>48</v>
      </c>
      <c r="K28" s="5"/>
      <c r="O28" s="30" t="s">
        <v>20</v>
      </c>
      <c r="P28" s="47">
        <f>E29</f>
        <v>-0.19573172878418543</v>
      </c>
    </row>
    <row r="29" spans="2:18">
      <c r="D29" s="62" t="s">
        <v>12</v>
      </c>
      <c r="E29" s="4">
        <f>(PRODUCT(F3:F17))^(12/COUNT(F3:F17))-1</f>
        <v>-0.19573172878418543</v>
      </c>
      <c r="F29" s="64" t="str">
        <f t="shared" ca="1" si="7"/>
        <v>=(PRODUCT(F3:F17))^(12/COUNT(F3:F17))-1</v>
      </c>
      <c r="I29" s="13">
        <v>45198</v>
      </c>
      <c r="J29">
        <v>4.5711000000000004</v>
      </c>
      <c r="K29" s="5"/>
      <c r="O29" s="29" t="s">
        <v>45</v>
      </c>
      <c r="P29" s="48">
        <f>E38</f>
        <v>0.33333333333333331</v>
      </c>
    </row>
    <row r="30" spans="2:18">
      <c r="D30" s="62" t="s">
        <v>47</v>
      </c>
      <c r="E30" s="8">
        <f>MAX(E3:E17)</f>
        <v>9.0587127768388065E-2</v>
      </c>
      <c r="F30" s="64" t="str">
        <f t="shared" ca="1" si="7"/>
        <v>=MAX(E3:E17)</v>
      </c>
      <c r="I30" s="13">
        <v>45169</v>
      </c>
      <c r="J30">
        <v>4.1081000000000003</v>
      </c>
      <c r="O30" s="30" t="s">
        <v>43</v>
      </c>
      <c r="P30" s="48">
        <f>E39</f>
        <v>0.66666666666666663</v>
      </c>
    </row>
    <row r="31" spans="2:18">
      <c r="D31" s="62" t="s">
        <v>44</v>
      </c>
      <c r="E31" s="8">
        <f>MIN(E3:E17)</f>
        <v>-7.3146665326142335E-2</v>
      </c>
      <c r="F31" s="64" t="str">
        <f t="shared" ca="1" si="7"/>
        <v>=MIN(E3:E17)</v>
      </c>
      <c r="I31" s="13">
        <v>45138</v>
      </c>
      <c r="J31">
        <v>3.9588000000000001</v>
      </c>
      <c r="O31" s="29" t="s">
        <v>21</v>
      </c>
      <c r="P31" s="47">
        <f>E32</f>
        <v>0.16063219346855212</v>
      </c>
    </row>
    <row r="32" spans="2:18">
      <c r="D32" s="62" t="s">
        <v>17</v>
      </c>
      <c r="E32" s="4">
        <f>E26*SQRT(12)</f>
        <v>0.16063219346855212</v>
      </c>
      <c r="F32" t="str">
        <f ca="1">_xlfn.FORMULATEXT(E32)</f>
        <v>=E26*SQRT(12)</v>
      </c>
      <c r="I32" s="13">
        <v>45107</v>
      </c>
      <c r="J32">
        <v>3.8367</v>
      </c>
      <c r="O32" s="30" t="s">
        <v>22</v>
      </c>
      <c r="P32" s="49">
        <f>E35</f>
        <v>-1.4569509618879946</v>
      </c>
    </row>
    <row r="33" spans="4:16">
      <c r="D33" s="62" t="s">
        <v>18</v>
      </c>
      <c r="E33" s="4">
        <f>E27*SQRT(12)</f>
        <v>0.16507030183413537</v>
      </c>
      <c r="F33" t="str">
        <f t="shared" ca="1" si="7"/>
        <v>=E27*SQRT(12)</v>
      </c>
      <c r="I33" s="13">
        <v>45077</v>
      </c>
      <c r="J33">
        <v>3.6425999999999998</v>
      </c>
      <c r="K33" s="5"/>
      <c r="O33" s="29"/>
      <c r="P33" s="35"/>
    </row>
    <row r="34" spans="4:16">
      <c r="D34" s="62" t="s">
        <v>5</v>
      </c>
      <c r="E34" s="4">
        <f>I27/100</f>
        <v>3.8301500000000009E-2</v>
      </c>
      <c r="F34" t="str">
        <f ca="1">_xlfn.FORMULATEXT(E34)</f>
        <v>=I27/100</v>
      </c>
      <c r="I34" s="13">
        <v>45044</v>
      </c>
      <c r="J34">
        <v>3.4220000000000002</v>
      </c>
      <c r="K34" s="5"/>
      <c r="P34" s="46"/>
    </row>
    <row r="35" spans="4:16">
      <c r="D35" s="62" t="s">
        <v>3</v>
      </c>
      <c r="E35" s="26">
        <f>(E29-E34)/E32</f>
        <v>-1.4569509618879946</v>
      </c>
      <c r="F35" t="str">
        <f t="shared" ca="1" si="7"/>
        <v>=(E29-E34)/E32</v>
      </c>
      <c r="I35" s="13">
        <v>45016</v>
      </c>
      <c r="J35" s="5">
        <v>3.4676</v>
      </c>
      <c r="K35" s="5"/>
      <c r="O35" s="12"/>
      <c r="P35" s="19"/>
    </row>
    <row r="36" spans="4:16">
      <c r="D36" s="62" t="s">
        <v>19</v>
      </c>
      <c r="E36" s="4">
        <f>D13/D7-1</f>
        <v>-0.21944859270452755</v>
      </c>
      <c r="F36" s="64" t="str">
        <f ca="1">_xlfn.FORMULATEXT(E36)</f>
        <v>=D13/D7-1</v>
      </c>
      <c r="I36" s="13">
        <v>44985</v>
      </c>
      <c r="J36" s="5">
        <v>3.92</v>
      </c>
      <c r="K36" s="5"/>
    </row>
    <row r="37" spans="4:16">
      <c r="D37" s="62" t="s">
        <v>14</v>
      </c>
      <c r="E37" s="7">
        <f>COUNT(E3:E18)</f>
        <v>15</v>
      </c>
      <c r="F37" s="64" t="str">
        <f ca="1">_xlfn.FORMULATEXT(E37)</f>
        <v>=COUNT(E3:E18)</v>
      </c>
      <c r="I37" s="13">
        <v>44957</v>
      </c>
      <c r="J37" s="5">
        <v>3.5068999999999999</v>
      </c>
      <c r="K37" s="5"/>
    </row>
    <row r="38" spans="4:16">
      <c r="D38" s="62" t="s">
        <v>15</v>
      </c>
      <c r="E38" s="51">
        <f>COUNTIF(E3:E18,"&gt;0")/E37</f>
        <v>0.33333333333333331</v>
      </c>
      <c r="F38" s="64" t="str">
        <f ca="1">_xlfn.FORMULATEXT(E38)</f>
        <v>=COUNTIF(E3:E18,"&gt;0")/E37</v>
      </c>
      <c r="I38" s="13">
        <v>44925</v>
      </c>
      <c r="J38" s="5">
        <v>3.8748</v>
      </c>
      <c r="K38" s="5"/>
    </row>
    <row r="39" spans="4:16" ht="16.8" thickBot="1">
      <c r="D39" s="63" t="s">
        <v>16</v>
      </c>
      <c r="E39" s="53">
        <f>COUNTIF(E3:E18,"&lt;0")/E37</f>
        <v>0.66666666666666663</v>
      </c>
      <c r="F39" s="64" t="str">
        <f ca="1">_xlfn.FORMULATEXT(E39)</f>
        <v>=COUNTIF(E3:E18,"&lt;0")/E37</v>
      </c>
      <c r="I39" s="13">
        <v>44895</v>
      </c>
      <c r="J39" s="5">
        <v>3.6053999999999999</v>
      </c>
      <c r="K39" s="5"/>
    </row>
    <row r="40" spans="4:16">
      <c r="I40" s="25">
        <v>44865</v>
      </c>
      <c r="J40" s="5">
        <v>4.0477999999999996</v>
      </c>
      <c r="K40" s="5"/>
    </row>
    <row r="41" spans="4:16">
      <c r="I41" s="13">
        <v>44834</v>
      </c>
      <c r="J41" s="5">
        <v>3.8285999999999998</v>
      </c>
      <c r="K41" s="5"/>
    </row>
    <row r="42" spans="4:16">
      <c r="I42" s="13">
        <v>44804</v>
      </c>
      <c r="J42" s="5">
        <v>3.1926000000000001</v>
      </c>
      <c r="K42" s="5"/>
    </row>
    <row r="43" spans="4:16">
      <c r="I43" s="13">
        <v>44772</v>
      </c>
      <c r="J43" s="5">
        <v>2.6486999999999998</v>
      </c>
      <c r="K43" s="5"/>
    </row>
    <row r="44" spans="4:16">
      <c r="I44" s="13">
        <v>44742</v>
      </c>
      <c r="J44" s="5">
        <v>3.0129000000000001</v>
      </c>
      <c r="K44" s="5"/>
    </row>
    <row r="45" spans="4:16">
      <c r="I45" s="13">
        <v>44711</v>
      </c>
      <c r="J45" s="5">
        <v>2.8441000000000001</v>
      </c>
    </row>
    <row r="46" spans="4:16">
      <c r="I46" s="13">
        <v>44680</v>
      </c>
      <c r="J46" s="5">
        <v>2.9336000000000002</v>
      </c>
    </row>
    <row r="47" spans="4:16">
      <c r="I47" s="13">
        <v>44651</v>
      </c>
      <c r="J47" s="5">
        <v>2.3433999999999999</v>
      </c>
    </row>
    <row r="48" spans="4:16">
      <c r="I48" s="13">
        <v>44620</v>
      </c>
      <c r="J48" s="5">
        <v>1.825</v>
      </c>
    </row>
    <row r="49" spans="9:10">
      <c r="I49" s="13">
        <v>44592</v>
      </c>
      <c r="J49" s="5">
        <v>1.7766999999999999</v>
      </c>
    </row>
    <row r="50" spans="9:10">
      <c r="I50" s="13">
        <v>44561</v>
      </c>
      <c r="J50" s="5">
        <v>1.5101</v>
      </c>
    </row>
    <row r="51" spans="9:10">
      <c r="I51" s="13">
        <v>44530</v>
      </c>
      <c r="J51" s="5">
        <v>1.4442999999999999</v>
      </c>
    </row>
    <row r="52" spans="9:10">
      <c r="I52" s="13">
        <v>44498</v>
      </c>
      <c r="J52" s="5">
        <v>1.5521</v>
      </c>
    </row>
    <row r="53" spans="9:10">
      <c r="I53" s="13" t="s">
        <v>24</v>
      </c>
      <c r="J53" s="5">
        <v>1.4873000000000001</v>
      </c>
    </row>
    <row r="54" spans="9:10">
      <c r="I54" s="13">
        <v>44439</v>
      </c>
      <c r="J54" s="5">
        <v>1.3088</v>
      </c>
    </row>
    <row r="55" spans="9:10">
      <c r="I55" s="13">
        <v>44408</v>
      </c>
      <c r="J55" s="5">
        <v>1.2222999999999999</v>
      </c>
    </row>
    <row r="56" spans="9:10">
      <c r="I56" s="13">
        <v>44377</v>
      </c>
      <c r="J56" s="5">
        <v>1.468</v>
      </c>
    </row>
    <row r="57" spans="9:10">
      <c r="I57" s="13">
        <v>44347</v>
      </c>
      <c r="J57" s="5">
        <v>1.5943000000000001</v>
      </c>
    </row>
    <row r="58" spans="9:10">
      <c r="I58" s="13">
        <v>44316</v>
      </c>
      <c r="J58" s="5">
        <v>1.6259000000000001</v>
      </c>
    </row>
    <row r="59" spans="9:10">
      <c r="I59" s="13">
        <v>44286</v>
      </c>
      <c r="J59" s="5">
        <v>1.7403999999999999</v>
      </c>
    </row>
    <row r="60" spans="9:10">
      <c r="I60" s="13">
        <v>44253</v>
      </c>
      <c r="J60" s="5">
        <v>1.4049</v>
      </c>
    </row>
    <row r="61" spans="9:10">
      <c r="I61" s="13">
        <v>44225</v>
      </c>
      <c r="J61" s="5">
        <v>1.0655000000000001</v>
      </c>
    </row>
    <row r="62" spans="9:10">
      <c r="I62" s="13">
        <v>44196</v>
      </c>
      <c r="J62" s="5">
        <v>0.91320000000000001</v>
      </c>
    </row>
    <row r="63" spans="9:10">
      <c r="I63" s="13">
        <v>44165</v>
      </c>
      <c r="J63" s="5">
        <v>0.83889999999999998</v>
      </c>
    </row>
    <row r="64" spans="9:10">
      <c r="I64" s="13">
        <v>44134</v>
      </c>
      <c r="J64" s="5">
        <v>0.87370000000000003</v>
      </c>
    </row>
    <row r="65" spans="9:10">
      <c r="I65" s="13">
        <v>44104</v>
      </c>
      <c r="J65" s="5">
        <v>0.68400000000000005</v>
      </c>
    </row>
    <row r="66" spans="9:10">
      <c r="I66" s="13">
        <v>44074</v>
      </c>
      <c r="J66" s="5">
        <v>0.70479999999999998</v>
      </c>
    </row>
    <row r="67" spans="9:10">
      <c r="I67" s="13">
        <v>44043</v>
      </c>
      <c r="J67" s="5">
        <v>0.5282</v>
      </c>
    </row>
    <row r="68" spans="9:10">
      <c r="I68" s="13">
        <v>44012</v>
      </c>
      <c r="J68" s="5">
        <v>0.65610000000000002</v>
      </c>
    </row>
  </sheetData>
  <mergeCells count="1">
    <mergeCell ref="D20:E21"/>
  </mergeCells>
  <phoneticPr fontId="30" type="noConversion"/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1E13-16EA-43A5-AC07-5AF2E042CF92}">
  <dimension ref="B1:AF65"/>
  <sheetViews>
    <sheetView topLeftCell="D1" zoomScale="85" zoomScaleNormal="85" workbookViewId="0">
      <selection activeCell="H18" sqref="E17:H18"/>
    </sheetView>
  </sheetViews>
  <sheetFormatPr defaultRowHeight="16.2"/>
  <cols>
    <col min="1" max="1" width="31.5546875" customWidth="1"/>
    <col min="2" max="2" width="16.21875" customWidth="1"/>
    <col min="3" max="3" width="17" customWidth="1"/>
    <col min="4" max="4" width="28" customWidth="1"/>
    <col min="5" max="5" width="21.44140625" customWidth="1"/>
    <col min="6" max="6" width="20.44140625" customWidth="1"/>
    <col min="7" max="7" width="23.6640625" customWidth="1"/>
    <col min="9" max="9" width="11.5546875" customWidth="1"/>
    <col min="15" max="15" width="27.21875" customWidth="1"/>
    <col min="16" max="16" width="10" bestFit="1" customWidth="1"/>
    <col min="18" max="18" width="27.109375" customWidth="1"/>
    <col min="19" max="19" width="9.44140625" bestFit="1" customWidth="1"/>
  </cols>
  <sheetData>
    <row r="1" spans="2:32">
      <c r="B1" t="s">
        <v>39</v>
      </c>
      <c r="D1" t="s">
        <v>0</v>
      </c>
      <c r="E1" t="s">
        <v>8</v>
      </c>
    </row>
    <row r="2" spans="2:32">
      <c r="C2" t="s">
        <v>25</v>
      </c>
      <c r="D2">
        <v>100</v>
      </c>
    </row>
    <row r="3" spans="2:32">
      <c r="B3" s="38">
        <v>515058.38</v>
      </c>
      <c r="C3" s="37">
        <v>44749</v>
      </c>
      <c r="D3" s="2">
        <f>B3/5000</f>
        <v>103.01167599999999</v>
      </c>
      <c r="E3" s="1">
        <f>(D3-100)/100</f>
        <v>3.0116759999999944E-2</v>
      </c>
      <c r="F3" s="22">
        <f>E3+1</f>
        <v>1.0301167599999999</v>
      </c>
    </row>
    <row r="4" spans="2:32">
      <c r="B4" s="38">
        <v>526213.68000000005</v>
      </c>
      <c r="C4" s="37">
        <v>44780</v>
      </c>
      <c r="D4" s="2">
        <f t="shared" ref="D4:D5" si="0">B4/5000</f>
        <v>105.24273600000001</v>
      </c>
      <c r="E4" s="1">
        <f>D4/D3-1</f>
        <v>2.1658321528522873E-2</v>
      </c>
      <c r="F4" s="22">
        <f>E4+1</f>
        <v>1.0216583215285229</v>
      </c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2:32">
      <c r="B5" s="38">
        <v>499085</v>
      </c>
      <c r="C5" s="54">
        <v>44811</v>
      </c>
      <c r="D5" s="56">
        <f t="shared" si="0"/>
        <v>99.816999999999993</v>
      </c>
      <c r="E5" s="1">
        <f t="shared" ref="E5:E11" si="1">D5/D4-1</f>
        <v>-5.1554493984269034E-2</v>
      </c>
      <c r="F5" s="22">
        <f>E5+1</f>
        <v>0.94844550601573097</v>
      </c>
    </row>
    <row r="6" spans="2:32">
      <c r="B6" s="38">
        <v>784518</v>
      </c>
      <c r="C6" s="37">
        <v>44835</v>
      </c>
      <c r="D6" s="2">
        <f>B6/8000</f>
        <v>98.064750000000004</v>
      </c>
      <c r="E6" s="1">
        <f t="shared" si="1"/>
        <v>-1.755462496368343E-2</v>
      </c>
      <c r="F6" s="22">
        <f t="shared" ref="F6:F11" si="2">E6+1</f>
        <v>0.98244537503631657</v>
      </c>
    </row>
    <row r="7" spans="2:32">
      <c r="B7" s="38">
        <v>788818</v>
      </c>
      <c r="C7" s="37">
        <v>44866</v>
      </c>
      <c r="D7" s="2">
        <f t="shared" ref="D7:D14" si="3">B7/8000</f>
        <v>98.602249999999998</v>
      </c>
      <c r="E7" s="1">
        <f t="shared" si="1"/>
        <v>5.4810724546792144E-3</v>
      </c>
      <c r="F7" s="22">
        <f t="shared" si="2"/>
        <v>1.0054810724546792</v>
      </c>
    </row>
    <row r="8" spans="2:32">
      <c r="B8" s="38">
        <v>764376</v>
      </c>
      <c r="C8" s="54">
        <v>44896</v>
      </c>
      <c r="D8" s="56">
        <f t="shared" si="3"/>
        <v>95.546999999999997</v>
      </c>
      <c r="E8" s="1">
        <f t="shared" si="1"/>
        <v>-3.0985601241350968E-2</v>
      </c>
      <c r="F8" s="22">
        <f t="shared" si="2"/>
        <v>0.96901439875864903</v>
      </c>
    </row>
    <row r="9" spans="2:32">
      <c r="B9" s="38">
        <v>743817</v>
      </c>
      <c r="C9" s="37">
        <v>44927</v>
      </c>
      <c r="D9" s="2">
        <f t="shared" si="3"/>
        <v>92.977125000000001</v>
      </c>
      <c r="E9" s="1">
        <f t="shared" si="1"/>
        <v>-2.6896448868096279E-2</v>
      </c>
      <c r="F9" s="22">
        <f t="shared" si="2"/>
        <v>0.97310355113190372</v>
      </c>
    </row>
    <row r="10" spans="2:32">
      <c r="B10" s="38">
        <v>689680</v>
      </c>
      <c r="C10" s="37">
        <v>44958</v>
      </c>
      <c r="D10" s="2">
        <f t="shared" si="3"/>
        <v>86.21</v>
      </c>
      <c r="E10" s="1">
        <f t="shared" si="1"/>
        <v>-7.2782687139444358E-2</v>
      </c>
      <c r="F10" s="22">
        <f t="shared" si="2"/>
        <v>0.92721731286055564</v>
      </c>
    </row>
    <row r="11" spans="2:32">
      <c r="B11" s="38">
        <v>671320</v>
      </c>
      <c r="C11" s="54">
        <v>44986</v>
      </c>
      <c r="D11" s="56">
        <f t="shared" si="3"/>
        <v>83.915000000000006</v>
      </c>
      <c r="E11" s="1">
        <f t="shared" si="1"/>
        <v>-2.6621041642500676E-2</v>
      </c>
      <c r="F11" s="22">
        <f t="shared" si="2"/>
        <v>0.97337895835749932</v>
      </c>
      <c r="G11" s="1">
        <f>D11/D8-1</f>
        <v>-0.12174113263629405</v>
      </c>
    </row>
    <row r="12" spans="2:32">
      <c r="B12" s="38">
        <v>629655</v>
      </c>
      <c r="C12" s="58">
        <v>45017</v>
      </c>
      <c r="D12" s="60">
        <f t="shared" si="3"/>
        <v>78.706874999999997</v>
      </c>
      <c r="E12" s="1">
        <f t="shared" ref="E12:E14" si="4">D12/D11-1</f>
        <v>-6.2064291247095338E-2</v>
      </c>
      <c r="F12" s="22">
        <f t="shared" ref="F12:F14" si="5">E12+1</f>
        <v>0.93793570875290466</v>
      </c>
      <c r="G12" s="1"/>
    </row>
    <row r="13" spans="2:32">
      <c r="B13" s="38">
        <v>615713</v>
      </c>
      <c r="C13" s="37">
        <v>45047</v>
      </c>
      <c r="D13" s="60">
        <f t="shared" si="3"/>
        <v>76.964124999999996</v>
      </c>
      <c r="E13" s="1">
        <f t="shared" si="4"/>
        <v>-2.2142284266780998E-2</v>
      </c>
      <c r="F13" s="22">
        <f t="shared" si="5"/>
        <v>0.977857715733219</v>
      </c>
      <c r="G13" s="1"/>
    </row>
    <row r="14" spans="2:32">
      <c r="B14" s="38">
        <v>638413</v>
      </c>
      <c r="C14" s="59">
        <v>45078</v>
      </c>
      <c r="D14" s="56">
        <f t="shared" si="3"/>
        <v>79.801625000000001</v>
      </c>
      <c r="E14" s="1">
        <f t="shared" si="4"/>
        <v>3.6867826406134174E-2</v>
      </c>
      <c r="F14" s="22">
        <f t="shared" si="5"/>
        <v>1.0368678264061342</v>
      </c>
      <c r="G14" s="1">
        <f>D14/D11-1</f>
        <v>-4.9018351903712176E-2</v>
      </c>
    </row>
    <row r="15" spans="2:32">
      <c r="C15" s="54"/>
      <c r="D15" s="2"/>
      <c r="E15" s="27"/>
      <c r="F15" s="22"/>
      <c r="G15" s="50"/>
    </row>
    <row r="16" spans="2:32">
      <c r="C16" s="3"/>
      <c r="D16" s="2"/>
      <c r="E16" s="27"/>
      <c r="F16" s="22"/>
    </row>
    <row r="17" spans="2:18">
      <c r="C17" s="3"/>
      <c r="D17" s="2"/>
      <c r="E17" s="27"/>
      <c r="F17" s="22"/>
    </row>
    <row r="18" spans="2:18">
      <c r="C18" s="3"/>
      <c r="D18" s="2"/>
      <c r="E18" s="27"/>
      <c r="F18" s="22"/>
    </row>
    <row r="19" spans="2:18" ht="16.8" thickBot="1">
      <c r="C19" s="3"/>
      <c r="E19" s="27"/>
    </row>
    <row r="20" spans="2:18">
      <c r="D20" s="82" t="s">
        <v>4</v>
      </c>
      <c r="E20" s="83"/>
    </row>
    <row r="21" spans="2:18">
      <c r="D21" s="84"/>
      <c r="E21" s="85"/>
      <c r="G21" s="1"/>
    </row>
    <row r="22" spans="2:18">
      <c r="D22" s="14" t="s">
        <v>6</v>
      </c>
      <c r="E22" s="23">
        <v>44749</v>
      </c>
    </row>
    <row r="23" spans="2:18">
      <c r="D23" s="14" t="s">
        <v>7</v>
      </c>
      <c r="E23" s="23">
        <v>45107</v>
      </c>
    </row>
    <row r="24" spans="2:18">
      <c r="D24" s="61" t="s">
        <v>1</v>
      </c>
      <c r="E24" s="4">
        <f>(D14-100)/100</f>
        <v>-0.20198374999999999</v>
      </c>
      <c r="F24" t="str">
        <f ca="1">_xlfn.FORMULATEXT(E24)</f>
        <v>=(D14-100)/100</v>
      </c>
      <c r="O24" s="12"/>
      <c r="P24" s="19"/>
      <c r="R24" s="29"/>
    </row>
    <row r="25" spans="2:18">
      <c r="D25" s="62" t="s">
        <v>2</v>
      </c>
      <c r="E25" s="4">
        <f>(D14-D8)/D8</f>
        <v>-0.16479193485928387</v>
      </c>
      <c r="F25" t="str">
        <f t="shared" ref="F25:F35" ca="1" si="6">_xlfn.FORMULATEXT(E25)</f>
        <v>=(D14-D8)/D8</v>
      </c>
      <c r="O25" s="12"/>
      <c r="P25" s="19"/>
    </row>
    <row r="26" spans="2:18">
      <c r="D26" s="62" t="s">
        <v>36</v>
      </c>
      <c r="E26" s="4">
        <f>STDEVA(E3:E14)</f>
        <v>3.5493899240641558E-2</v>
      </c>
      <c r="F26" t="str">
        <f t="shared" ca="1" si="6"/>
        <v>=STDEVA(E3:E14)</v>
      </c>
      <c r="I26" t="s">
        <v>9</v>
      </c>
      <c r="J26" t="s">
        <v>42</v>
      </c>
      <c r="O26" s="30" t="s">
        <v>32</v>
      </c>
      <c r="P26" s="47">
        <f>E24</f>
        <v>-0.20198374999999999</v>
      </c>
    </row>
    <row r="27" spans="2:18">
      <c r="D27" s="62" t="s">
        <v>35</v>
      </c>
      <c r="E27" s="4">
        <f>STDEVA(E3:E14)</f>
        <v>3.5493899240641558E-2</v>
      </c>
      <c r="F27" t="str">
        <f t="shared" ca="1" si="6"/>
        <v>=STDEVA(E3:E14)</v>
      </c>
      <c r="I27">
        <f>AVERAGE(J29:J40)</f>
        <v>3.5828083333333329</v>
      </c>
      <c r="O27" s="29" t="s">
        <v>33</v>
      </c>
      <c r="P27" s="47">
        <f>E25</f>
        <v>-0.16479193485928387</v>
      </c>
    </row>
    <row r="28" spans="2:18">
      <c r="B28" s="6"/>
      <c r="D28" s="62" t="s">
        <v>13</v>
      </c>
      <c r="E28" s="7">
        <f>E23-E22</f>
        <v>358</v>
      </c>
      <c r="F28" t="str">
        <f ca="1">_xlfn.FORMULATEXT(E28)</f>
        <v>=E23-E22</v>
      </c>
      <c r="I28" s="5" t="s">
        <v>10</v>
      </c>
      <c r="J28" s="5" t="s">
        <v>11</v>
      </c>
      <c r="K28" s="5"/>
      <c r="O28" s="30" t="s">
        <v>20</v>
      </c>
      <c r="P28" s="47">
        <f>E29</f>
        <v>-0.2019837499999998</v>
      </c>
    </row>
    <row r="29" spans="2:18">
      <c r="D29" s="62" t="s">
        <v>12</v>
      </c>
      <c r="E29" s="4">
        <f>(PRODUCT(F3:F14))^(12/COUNT(F3:F14))-1</f>
        <v>-0.2019837499999998</v>
      </c>
      <c r="F29" t="str">
        <f t="shared" ca="1" si="6"/>
        <v>=(PRODUCT(F3:F14))^(12/COUNT(F3:F14))-1</v>
      </c>
      <c r="I29" s="13">
        <v>45107</v>
      </c>
      <c r="J29">
        <v>3.8367</v>
      </c>
      <c r="K29" s="5"/>
      <c r="O29" s="29" t="s">
        <v>45</v>
      </c>
      <c r="P29" s="48">
        <f>E38</f>
        <v>0.33333333333333331</v>
      </c>
    </row>
    <row r="30" spans="2:18">
      <c r="D30" s="62" t="s">
        <v>47</v>
      </c>
      <c r="E30" s="8">
        <f>MAX(E3:E16)</f>
        <v>3.6867826406134174E-2</v>
      </c>
      <c r="F30" t="str">
        <f t="shared" ca="1" si="6"/>
        <v>=MAX(E3:E16)</v>
      </c>
      <c r="I30" s="13">
        <v>45077</v>
      </c>
      <c r="J30">
        <v>3.6425999999999998</v>
      </c>
      <c r="O30" s="30" t="s">
        <v>43</v>
      </c>
      <c r="P30" s="48">
        <f>E39</f>
        <v>0.66666666666666663</v>
      </c>
    </row>
    <row r="31" spans="2:18">
      <c r="D31" s="62" t="s">
        <v>44</v>
      </c>
      <c r="E31" s="8">
        <f>MIN(E3:E17)</f>
        <v>-7.2782687139444358E-2</v>
      </c>
      <c r="F31" t="str">
        <f t="shared" ca="1" si="6"/>
        <v>=MIN(E3:E17)</v>
      </c>
      <c r="I31" s="13">
        <v>45044</v>
      </c>
      <c r="J31">
        <v>3.4220000000000002</v>
      </c>
      <c r="O31" s="29" t="s">
        <v>21</v>
      </c>
      <c r="P31" s="47">
        <f>E32</f>
        <v>0.12295447368704314</v>
      </c>
    </row>
    <row r="32" spans="2:18">
      <c r="D32" s="62" t="s">
        <v>17</v>
      </c>
      <c r="E32" s="4">
        <f>E26*SQRT(12)</f>
        <v>0.12295447368704314</v>
      </c>
      <c r="F32" t="str">
        <f ca="1">_xlfn.FORMULATEXT(E32)</f>
        <v>=E26*SQRT(12)</v>
      </c>
      <c r="I32" s="13">
        <v>45016</v>
      </c>
      <c r="J32" s="5">
        <v>3.4676</v>
      </c>
      <c r="O32" s="30" t="s">
        <v>22</v>
      </c>
      <c r="P32" s="49">
        <f>E35</f>
        <v>-1.934145429621676</v>
      </c>
    </row>
    <row r="33" spans="4:16">
      <c r="D33" s="62" t="s">
        <v>18</v>
      </c>
      <c r="E33" s="4">
        <f>E27*SQRT(12)</f>
        <v>0.12295447368704314</v>
      </c>
      <c r="F33" t="str">
        <f t="shared" ca="1" si="6"/>
        <v>=E27*SQRT(12)</v>
      </c>
      <c r="I33" s="13">
        <v>44985</v>
      </c>
      <c r="J33" s="5">
        <v>3.92</v>
      </c>
      <c r="K33" s="5"/>
      <c r="O33" s="29"/>
      <c r="P33" s="35"/>
    </row>
    <row r="34" spans="4:16">
      <c r="D34" s="62" t="s">
        <v>5</v>
      </c>
      <c r="E34" s="4">
        <f>I27/100</f>
        <v>3.582808333333333E-2</v>
      </c>
      <c r="F34" t="str">
        <f ca="1">_xlfn.FORMULATEXT(E34)</f>
        <v>=I27/100</v>
      </c>
      <c r="I34" s="13">
        <v>44957</v>
      </c>
      <c r="J34" s="5">
        <v>3.5068999999999999</v>
      </c>
      <c r="K34" s="5"/>
      <c r="P34" s="46"/>
    </row>
    <row r="35" spans="4:16">
      <c r="D35" s="62" t="s">
        <v>3</v>
      </c>
      <c r="E35" s="26">
        <f>(E29-E34)/E32</f>
        <v>-1.934145429621676</v>
      </c>
      <c r="F35" t="str">
        <f t="shared" ca="1" si="6"/>
        <v>=(E29-E34)/E32</v>
      </c>
      <c r="I35" s="13">
        <v>44925</v>
      </c>
      <c r="J35" s="5">
        <v>3.8748</v>
      </c>
      <c r="K35" s="5"/>
      <c r="O35" s="12"/>
      <c r="P35" s="19"/>
    </row>
    <row r="36" spans="4:16">
      <c r="D36" s="62" t="s">
        <v>19</v>
      </c>
      <c r="E36" s="4">
        <f>D13/D7-1</f>
        <v>-0.21944859270452755</v>
      </c>
      <c r="F36" t="str">
        <f ca="1">_xlfn.FORMULATEXT(E36)</f>
        <v>=D13/D7-1</v>
      </c>
      <c r="I36" s="13">
        <v>44895</v>
      </c>
      <c r="J36" s="5">
        <v>3.6053999999999999</v>
      </c>
      <c r="K36" s="5"/>
    </row>
    <row r="37" spans="4:16">
      <c r="D37" s="62" t="s">
        <v>14</v>
      </c>
      <c r="E37" s="7">
        <f>COUNT(E3:E18)</f>
        <v>12</v>
      </c>
      <c r="F37" t="str">
        <f ca="1">_xlfn.FORMULATEXT(E37)</f>
        <v>=COUNT(E3:E18)</v>
      </c>
      <c r="I37" s="25">
        <v>44865</v>
      </c>
      <c r="J37" s="5">
        <v>4.0477999999999996</v>
      </c>
      <c r="K37" s="5"/>
    </row>
    <row r="38" spans="4:16">
      <c r="D38" s="62" t="s">
        <v>15</v>
      </c>
      <c r="E38" s="51">
        <f>COUNTIF(E3:E18,"&gt;0")/E37</f>
        <v>0.33333333333333331</v>
      </c>
      <c r="F38" t="str">
        <f ca="1">_xlfn.FORMULATEXT(E38)</f>
        <v>=COUNTIF(E3:E18,"&gt;0")/E37</v>
      </c>
      <c r="I38" s="13">
        <v>44834</v>
      </c>
      <c r="J38" s="5">
        <v>3.8285999999999998</v>
      </c>
      <c r="K38" s="5"/>
    </row>
    <row r="39" spans="4:16" ht="16.8" thickBot="1">
      <c r="D39" s="63" t="s">
        <v>16</v>
      </c>
      <c r="E39" s="53">
        <f>COUNTIF(E3:E18,"&lt;0")/E37</f>
        <v>0.66666666666666663</v>
      </c>
      <c r="F39" t="str">
        <f ca="1">_xlfn.FORMULATEXT(E39)</f>
        <v>=COUNTIF(E3:E18,"&lt;0")/E37</v>
      </c>
      <c r="I39" s="13">
        <v>44804</v>
      </c>
      <c r="J39" s="5">
        <v>3.1926000000000001</v>
      </c>
      <c r="K39" s="5"/>
    </row>
    <row r="40" spans="4:16">
      <c r="I40" s="13">
        <v>44772</v>
      </c>
      <c r="J40" s="5">
        <v>2.6486999999999998</v>
      </c>
      <c r="K40" s="5"/>
    </row>
    <row r="41" spans="4:16">
      <c r="I41" s="13">
        <v>44742</v>
      </c>
      <c r="J41" s="5">
        <v>3.0129000000000001</v>
      </c>
      <c r="K41" s="5"/>
    </row>
    <row r="42" spans="4:16">
      <c r="I42" s="13">
        <v>44711</v>
      </c>
      <c r="J42" s="5">
        <v>2.8441000000000001</v>
      </c>
      <c r="K42" s="5"/>
    </row>
    <row r="43" spans="4:16">
      <c r="I43" s="13">
        <v>44680</v>
      </c>
      <c r="J43" s="5">
        <v>2.9336000000000002</v>
      </c>
      <c r="K43" s="5"/>
    </row>
    <row r="44" spans="4:16">
      <c r="I44" s="13">
        <v>44651</v>
      </c>
      <c r="J44" s="5">
        <v>2.3433999999999999</v>
      </c>
      <c r="K44" s="5"/>
    </row>
    <row r="45" spans="4:16">
      <c r="I45" s="13">
        <v>44620</v>
      </c>
      <c r="J45" s="5">
        <v>1.825</v>
      </c>
    </row>
    <row r="46" spans="4:16">
      <c r="I46" s="13">
        <v>44592</v>
      </c>
      <c r="J46" s="5">
        <v>1.7766999999999999</v>
      </c>
    </row>
    <row r="47" spans="4:16">
      <c r="I47" s="13">
        <v>44561</v>
      </c>
      <c r="J47" s="5">
        <v>1.5101</v>
      </c>
    </row>
    <row r="48" spans="4:16">
      <c r="I48" s="13">
        <v>44530</v>
      </c>
      <c r="J48" s="5">
        <v>1.4442999999999999</v>
      </c>
    </row>
    <row r="49" spans="9:10">
      <c r="I49" s="13">
        <v>44498</v>
      </c>
      <c r="J49" s="5">
        <v>1.5521</v>
      </c>
    </row>
    <row r="50" spans="9:10">
      <c r="I50" s="13" t="s">
        <v>24</v>
      </c>
      <c r="J50" s="5">
        <v>1.4873000000000001</v>
      </c>
    </row>
    <row r="51" spans="9:10">
      <c r="I51" s="13">
        <v>44439</v>
      </c>
      <c r="J51" s="5">
        <v>1.3088</v>
      </c>
    </row>
    <row r="52" spans="9:10">
      <c r="I52" s="13">
        <v>44408</v>
      </c>
      <c r="J52" s="5">
        <v>1.2222999999999999</v>
      </c>
    </row>
    <row r="53" spans="9:10">
      <c r="I53" s="13">
        <v>44377</v>
      </c>
      <c r="J53" s="5">
        <v>1.468</v>
      </c>
    </row>
    <row r="54" spans="9:10">
      <c r="I54" s="13">
        <v>44347</v>
      </c>
      <c r="J54" s="5">
        <v>1.5943000000000001</v>
      </c>
    </row>
    <row r="55" spans="9:10">
      <c r="I55" s="13">
        <v>44316</v>
      </c>
      <c r="J55" s="5">
        <v>1.6259000000000001</v>
      </c>
    </row>
    <row r="56" spans="9:10">
      <c r="I56" s="13">
        <v>44286</v>
      </c>
      <c r="J56" s="5">
        <v>1.7403999999999999</v>
      </c>
    </row>
    <row r="57" spans="9:10">
      <c r="I57" s="13">
        <v>44253</v>
      </c>
      <c r="J57" s="5">
        <v>1.4049</v>
      </c>
    </row>
    <row r="58" spans="9:10">
      <c r="I58" s="13">
        <v>44225</v>
      </c>
      <c r="J58" s="5">
        <v>1.0655000000000001</v>
      </c>
    </row>
    <row r="59" spans="9:10">
      <c r="I59" s="13">
        <v>44196</v>
      </c>
      <c r="J59" s="5">
        <v>0.91320000000000001</v>
      </c>
    </row>
    <row r="60" spans="9:10">
      <c r="I60" s="13">
        <v>44165</v>
      </c>
      <c r="J60" s="5">
        <v>0.83889999999999998</v>
      </c>
    </row>
    <row r="61" spans="9:10">
      <c r="I61" s="13">
        <v>44134</v>
      </c>
      <c r="J61" s="5">
        <v>0.87370000000000003</v>
      </c>
    </row>
    <row r="62" spans="9:10">
      <c r="I62" s="13">
        <v>44104</v>
      </c>
      <c r="J62" s="5">
        <v>0.68400000000000005</v>
      </c>
    </row>
    <row r="63" spans="9:10">
      <c r="I63" s="13">
        <v>44074</v>
      </c>
      <c r="J63" s="5">
        <v>0.70479999999999998</v>
      </c>
    </row>
    <row r="64" spans="9:10">
      <c r="I64" s="13">
        <v>44043</v>
      </c>
      <c r="J64" s="5">
        <v>0.5282</v>
      </c>
    </row>
    <row r="65" spans="9:10">
      <c r="I65" s="13">
        <v>44012</v>
      </c>
      <c r="J65" s="5">
        <v>0.65610000000000002</v>
      </c>
    </row>
  </sheetData>
  <mergeCells count="1">
    <mergeCell ref="D20:E21"/>
  </mergeCells>
  <phoneticPr fontId="30" type="noConversion"/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9A9CE-DF8A-4C65-8571-6B1125958087}">
  <dimension ref="B1:AF62"/>
  <sheetViews>
    <sheetView topLeftCell="C12" zoomScale="115" zoomScaleNormal="115" workbookViewId="0">
      <selection activeCell="E29" sqref="E29"/>
    </sheetView>
  </sheetViews>
  <sheetFormatPr defaultRowHeight="16.2"/>
  <cols>
    <col min="1" max="1" width="31.5546875" customWidth="1"/>
    <col min="2" max="2" width="16.21875" customWidth="1"/>
    <col min="3" max="3" width="17" customWidth="1"/>
    <col min="4" max="4" width="28" customWidth="1"/>
    <col min="5" max="5" width="21.44140625" customWidth="1"/>
    <col min="6" max="6" width="20.44140625" customWidth="1"/>
    <col min="7" max="7" width="23.6640625" customWidth="1"/>
    <col min="9" max="9" width="11.5546875" customWidth="1"/>
    <col min="15" max="15" width="27.21875" customWidth="1"/>
    <col min="16" max="16" width="10" bestFit="1" customWidth="1"/>
    <col min="18" max="18" width="27.109375" customWidth="1"/>
    <col min="19" max="19" width="9.44140625" bestFit="1" customWidth="1"/>
  </cols>
  <sheetData>
    <row r="1" spans="2:32">
      <c r="B1" t="s">
        <v>39</v>
      </c>
      <c r="D1" t="s">
        <v>0</v>
      </c>
      <c r="E1" t="s">
        <v>8</v>
      </c>
    </row>
    <row r="2" spans="2:32">
      <c r="C2" t="s">
        <v>25</v>
      </c>
      <c r="D2">
        <v>100</v>
      </c>
    </row>
    <row r="3" spans="2:32">
      <c r="B3" s="38">
        <v>515058.38</v>
      </c>
      <c r="C3" s="37">
        <v>44749</v>
      </c>
      <c r="D3" s="2">
        <f>B3/5000</f>
        <v>103.01167599999999</v>
      </c>
      <c r="E3" s="1">
        <f>(D3-100)/100</f>
        <v>3.0116759999999944E-2</v>
      </c>
      <c r="F3" s="22">
        <f>E3+1</f>
        <v>1.0301167599999999</v>
      </c>
    </row>
    <row r="4" spans="2:32">
      <c r="B4" s="38">
        <v>526213.68000000005</v>
      </c>
      <c r="C4" s="37">
        <v>44780</v>
      </c>
      <c r="D4" s="2">
        <f t="shared" ref="D4:D5" si="0">B4/5000</f>
        <v>105.24273600000001</v>
      </c>
      <c r="E4" s="1">
        <f>D4/D3-1</f>
        <v>2.1658321528522873E-2</v>
      </c>
      <c r="F4" s="22">
        <f>E4+1</f>
        <v>1.0216583215285229</v>
      </c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2:32">
      <c r="B5" s="38">
        <v>499085</v>
      </c>
      <c r="C5" s="54">
        <v>44811</v>
      </c>
      <c r="D5" s="56">
        <f t="shared" si="0"/>
        <v>99.816999999999993</v>
      </c>
      <c r="E5" s="1">
        <f t="shared" ref="E5:E11" si="1">D5/D4-1</f>
        <v>-5.1554493984269034E-2</v>
      </c>
      <c r="F5" s="22">
        <f>E5+1</f>
        <v>0.94844550601573097</v>
      </c>
    </row>
    <row r="6" spans="2:32">
      <c r="B6" s="38">
        <v>784518</v>
      </c>
      <c r="C6" s="37">
        <v>44835</v>
      </c>
      <c r="D6" s="2">
        <f>B6/8000</f>
        <v>98.064750000000004</v>
      </c>
      <c r="E6" s="1">
        <f t="shared" si="1"/>
        <v>-1.755462496368343E-2</v>
      </c>
      <c r="F6" s="22">
        <f t="shared" ref="F6:F11" si="2">E6+1</f>
        <v>0.98244537503631657</v>
      </c>
    </row>
    <row r="7" spans="2:32">
      <c r="B7" s="38">
        <v>788818</v>
      </c>
      <c r="C7" s="37">
        <v>44866</v>
      </c>
      <c r="D7" s="2">
        <f t="shared" ref="D7:D11" si="3">B7/8000</f>
        <v>98.602249999999998</v>
      </c>
      <c r="E7" s="1">
        <f t="shared" si="1"/>
        <v>5.4810724546792144E-3</v>
      </c>
      <c r="F7" s="22">
        <f t="shared" si="2"/>
        <v>1.0054810724546792</v>
      </c>
    </row>
    <row r="8" spans="2:32">
      <c r="B8" s="38">
        <v>764376</v>
      </c>
      <c r="C8" s="54">
        <v>44896</v>
      </c>
      <c r="D8" s="56">
        <f t="shared" si="3"/>
        <v>95.546999999999997</v>
      </c>
      <c r="E8" s="1">
        <f t="shared" si="1"/>
        <v>-3.0985601241350968E-2</v>
      </c>
      <c r="F8" s="22">
        <f t="shared" si="2"/>
        <v>0.96901439875864903</v>
      </c>
    </row>
    <row r="9" spans="2:32">
      <c r="B9" s="38">
        <v>743817</v>
      </c>
      <c r="C9" s="37">
        <v>44927</v>
      </c>
      <c r="D9" s="2">
        <f t="shared" si="3"/>
        <v>92.977125000000001</v>
      </c>
      <c r="E9" s="1">
        <f t="shared" si="1"/>
        <v>-2.6896448868096279E-2</v>
      </c>
      <c r="F9" s="22">
        <f t="shared" si="2"/>
        <v>0.97310355113190372</v>
      </c>
    </row>
    <row r="10" spans="2:32">
      <c r="B10" s="38">
        <v>689680</v>
      </c>
      <c r="C10" s="37">
        <v>44958</v>
      </c>
      <c r="D10" s="2">
        <f t="shared" si="3"/>
        <v>86.21</v>
      </c>
      <c r="E10" s="1">
        <f t="shared" si="1"/>
        <v>-7.2782687139444358E-2</v>
      </c>
      <c r="F10" s="22">
        <f t="shared" si="2"/>
        <v>0.92721731286055564</v>
      </c>
    </row>
    <row r="11" spans="2:32">
      <c r="B11" s="38">
        <v>671320</v>
      </c>
      <c r="C11" s="54">
        <v>44986</v>
      </c>
      <c r="D11" s="56">
        <f t="shared" si="3"/>
        <v>83.915000000000006</v>
      </c>
      <c r="E11" s="1">
        <f t="shared" si="1"/>
        <v>-2.6621041642500676E-2</v>
      </c>
      <c r="F11" s="22">
        <f t="shared" si="2"/>
        <v>0.97337895835749932</v>
      </c>
      <c r="G11" s="1">
        <f>D11/D8-1</f>
        <v>-0.12174113263629405</v>
      </c>
    </row>
    <row r="12" spans="2:32">
      <c r="C12" s="3"/>
      <c r="D12" s="2"/>
      <c r="E12" s="27"/>
      <c r="F12" s="22"/>
    </row>
    <row r="13" spans="2:32">
      <c r="C13" s="3"/>
      <c r="D13" s="2"/>
      <c r="E13" s="27"/>
      <c r="F13" s="22"/>
    </row>
    <row r="14" spans="2:32">
      <c r="C14" s="3"/>
      <c r="D14" s="2"/>
      <c r="E14" s="27"/>
      <c r="F14" s="22"/>
      <c r="G14" s="18"/>
    </row>
    <row r="15" spans="2:32">
      <c r="C15" s="3"/>
      <c r="D15" s="2"/>
      <c r="E15" s="27"/>
      <c r="F15" s="22"/>
      <c r="G15" s="18"/>
    </row>
    <row r="16" spans="2:32">
      <c r="C16" s="3"/>
      <c r="D16" s="2"/>
      <c r="E16" s="27"/>
      <c r="F16" s="22"/>
    </row>
    <row r="17" spans="2:18">
      <c r="C17" s="3"/>
      <c r="D17" s="2"/>
      <c r="E17" s="27"/>
      <c r="F17" s="22"/>
    </row>
    <row r="18" spans="2:18">
      <c r="C18" s="3"/>
      <c r="D18" s="2"/>
      <c r="E18" s="27"/>
      <c r="F18" s="22"/>
    </row>
    <row r="19" spans="2:18" ht="16.8" thickBot="1">
      <c r="C19" s="3"/>
      <c r="E19" s="27"/>
    </row>
    <row r="20" spans="2:18">
      <c r="D20" s="82" t="s">
        <v>4</v>
      </c>
      <c r="E20" s="83"/>
    </row>
    <row r="21" spans="2:18">
      <c r="D21" s="84"/>
      <c r="E21" s="85"/>
      <c r="G21" s="1"/>
    </row>
    <row r="22" spans="2:18">
      <c r="D22" s="14" t="s">
        <v>6</v>
      </c>
      <c r="E22" s="23">
        <v>44749</v>
      </c>
    </row>
    <row r="23" spans="2:18">
      <c r="D23" s="14" t="s">
        <v>7</v>
      </c>
      <c r="E23" s="23">
        <v>45016</v>
      </c>
    </row>
    <row r="24" spans="2:18">
      <c r="D24" s="15" t="s">
        <v>1</v>
      </c>
      <c r="E24" s="4">
        <f>(D11-100)/100</f>
        <v>-0.16084999999999994</v>
      </c>
      <c r="F24" t="str">
        <f ca="1">_xlfn.FORMULATEXT(E24)</f>
        <v>=(D11-100)/100</v>
      </c>
      <c r="O24" s="12"/>
      <c r="P24" s="19"/>
      <c r="R24" s="29"/>
    </row>
    <row r="25" spans="2:18">
      <c r="D25" s="15" t="s">
        <v>2</v>
      </c>
      <c r="E25" s="4">
        <f>(D11-D8)/D8</f>
        <v>-0.12174113263629409</v>
      </c>
      <c r="F25" t="str">
        <f t="shared" ref="F25:F35" ca="1" si="4">_xlfn.FORMULATEXT(E25)</f>
        <v>=(D11-D8)/D8</v>
      </c>
      <c r="O25" s="12"/>
      <c r="P25" s="19"/>
    </row>
    <row r="26" spans="2:18">
      <c r="D26" s="15" t="s">
        <v>36</v>
      </c>
      <c r="E26" s="4">
        <f>STDEVA(E3:E11)</f>
        <v>3.3322371712992564E-2</v>
      </c>
      <c r="F26" t="str">
        <f t="shared" ca="1" si="4"/>
        <v>=STDEVA(E3:E11)</v>
      </c>
      <c r="I26" t="s">
        <v>9</v>
      </c>
      <c r="J26" t="s">
        <v>42</v>
      </c>
      <c r="O26" s="30" t="s">
        <v>32</v>
      </c>
      <c r="P26" s="47">
        <f>E24</f>
        <v>-0.16084999999999994</v>
      </c>
    </row>
    <row r="27" spans="2:18">
      <c r="D27" s="40" t="s">
        <v>35</v>
      </c>
      <c r="E27" s="4">
        <f>STDEVA(E3:E11)</f>
        <v>3.3322371712992564E-2</v>
      </c>
      <c r="F27" t="str">
        <f t="shared" ca="1" si="4"/>
        <v>=STDEVA(E3:E11)</v>
      </c>
      <c r="I27">
        <f>AVERAGE(J29:J40)</f>
        <v>3.4069166666666661</v>
      </c>
      <c r="O27" s="29" t="s">
        <v>33</v>
      </c>
      <c r="P27" s="47">
        <f>E25</f>
        <v>-0.12174113263629409</v>
      </c>
    </row>
    <row r="28" spans="2:18">
      <c r="B28" s="6"/>
      <c r="D28" s="15" t="s">
        <v>13</v>
      </c>
      <c r="E28" s="7">
        <f>E23-E22</f>
        <v>267</v>
      </c>
      <c r="F28" t="str">
        <f ca="1">_xlfn.FORMULATEXT(E28)</f>
        <v>=E23-E22</v>
      </c>
      <c r="I28" s="5" t="s">
        <v>10</v>
      </c>
      <c r="J28" s="5" t="s">
        <v>11</v>
      </c>
      <c r="K28" s="5"/>
      <c r="O28" s="30" t="s">
        <v>20</v>
      </c>
      <c r="P28" s="47">
        <f>E29</f>
        <v>-0.20849657488941387</v>
      </c>
    </row>
    <row r="29" spans="2:18">
      <c r="D29" s="15" t="s">
        <v>12</v>
      </c>
      <c r="E29" s="4">
        <f>(PRODUCT(F3:F11))^(12/COUNT(F3:F11))-1</f>
        <v>-0.20849657488941387</v>
      </c>
      <c r="F29" t="str">
        <f t="shared" ca="1" si="4"/>
        <v>=(PRODUCT(F3:F11))^(12/COUNT(F3:F11))-1</v>
      </c>
      <c r="I29" s="13">
        <v>45016</v>
      </c>
      <c r="J29" s="5">
        <v>3.4676</v>
      </c>
      <c r="K29" s="5"/>
      <c r="O29" s="29" t="s">
        <v>45</v>
      </c>
      <c r="P29" s="48">
        <f>E38</f>
        <v>0.33333333333333331</v>
      </c>
    </row>
    <row r="30" spans="2:18">
      <c r="D30" s="24" t="s">
        <v>37</v>
      </c>
      <c r="E30" s="8">
        <f>MAX(E3:E16)</f>
        <v>3.0116759999999944E-2</v>
      </c>
      <c r="F30" t="str">
        <f t="shared" ca="1" si="4"/>
        <v>=MAX(E3:E16)</v>
      </c>
      <c r="I30" s="13">
        <v>44985</v>
      </c>
      <c r="J30" s="5">
        <v>3.92</v>
      </c>
      <c r="O30" s="30" t="s">
        <v>43</v>
      </c>
      <c r="P30" s="48">
        <f>E39</f>
        <v>0.66666666666666663</v>
      </c>
    </row>
    <row r="31" spans="2:18">
      <c r="D31" s="15" t="s">
        <v>44</v>
      </c>
      <c r="E31" s="8">
        <f>MIN(E3:E17)</f>
        <v>-7.2782687139444358E-2</v>
      </c>
      <c r="F31" t="str">
        <f t="shared" ca="1" si="4"/>
        <v>=MIN(E3:E17)</v>
      </c>
      <c r="I31" s="13">
        <v>44957</v>
      </c>
      <c r="J31" s="5">
        <v>3.5068999999999999</v>
      </c>
      <c r="O31" s="29" t="s">
        <v>21</v>
      </c>
      <c r="P31" s="47">
        <f>E32</f>
        <v>0.11543208167119816</v>
      </c>
    </row>
    <row r="32" spans="2:18">
      <c r="D32" s="15" t="s">
        <v>17</v>
      </c>
      <c r="E32" s="4">
        <f>E26*SQRT(12)</f>
        <v>0.11543208167119816</v>
      </c>
      <c r="F32" t="str">
        <f ca="1">_xlfn.FORMULATEXT(E32)</f>
        <v>=E26*SQRT(12)</v>
      </c>
      <c r="I32" s="13">
        <v>44925</v>
      </c>
      <c r="J32" s="5">
        <v>3.8748</v>
      </c>
      <c r="O32" s="30" t="s">
        <v>22</v>
      </c>
      <c r="P32" s="49">
        <f>E35</f>
        <v>-2.1013719760076364</v>
      </c>
    </row>
    <row r="33" spans="4:16">
      <c r="D33" s="15" t="s">
        <v>18</v>
      </c>
      <c r="E33" s="4">
        <f>E27*SQRT(12)</f>
        <v>0.11543208167119816</v>
      </c>
      <c r="F33" t="str">
        <f t="shared" ca="1" si="4"/>
        <v>=E27*SQRT(12)</v>
      </c>
      <c r="I33" s="13">
        <v>44895</v>
      </c>
      <c r="J33" s="5">
        <v>3.6053999999999999</v>
      </c>
      <c r="K33" s="5"/>
      <c r="O33" s="29"/>
      <c r="P33" s="35"/>
    </row>
    <row r="34" spans="4:16">
      <c r="D34" s="15" t="s">
        <v>5</v>
      </c>
      <c r="E34" s="4">
        <f>I27/100</f>
        <v>3.4069166666666664E-2</v>
      </c>
      <c r="F34" t="str">
        <f ca="1">_xlfn.FORMULATEXT(E34)</f>
        <v>=I27/100</v>
      </c>
      <c r="I34" s="25">
        <v>44865</v>
      </c>
      <c r="J34" s="5">
        <v>4.0477999999999996</v>
      </c>
      <c r="K34" s="5"/>
      <c r="P34" s="46"/>
    </row>
    <row r="35" spans="4:16">
      <c r="D35" s="15" t="s">
        <v>3</v>
      </c>
      <c r="E35" s="26">
        <f>(E29-E34)/E32</f>
        <v>-2.1013719760076364</v>
      </c>
      <c r="F35" t="str">
        <f t="shared" ca="1" si="4"/>
        <v>=(E29-E34)/E32</v>
      </c>
      <c r="I35" s="13">
        <v>44834</v>
      </c>
      <c r="J35" s="5">
        <v>3.8285999999999998</v>
      </c>
      <c r="K35" s="5"/>
      <c r="O35" s="12"/>
      <c r="P35" s="19"/>
    </row>
    <row r="36" spans="4:16">
      <c r="D36" s="15" t="s">
        <v>19</v>
      </c>
      <c r="E36" s="4">
        <f>D6/D4-1</f>
        <v>-6.8204099140866115E-2</v>
      </c>
      <c r="F36" t="str">
        <f ca="1">_xlfn.FORMULATEXT(E36)</f>
        <v>=D6/D4-1</v>
      </c>
      <c r="I36" s="13">
        <v>44804</v>
      </c>
      <c r="J36" s="5">
        <v>3.1926000000000001</v>
      </c>
      <c r="K36" s="5"/>
    </row>
    <row r="37" spans="4:16">
      <c r="D37" s="15" t="s">
        <v>14</v>
      </c>
      <c r="E37" s="7">
        <f>COUNT(E3:E18)</f>
        <v>9</v>
      </c>
      <c r="F37" t="str">
        <f ca="1">_xlfn.FORMULATEXT(E37)</f>
        <v>=COUNT(E3:E18)</v>
      </c>
      <c r="I37" s="13">
        <v>44772</v>
      </c>
      <c r="J37" s="5">
        <v>2.6486999999999998</v>
      </c>
      <c r="K37" s="5"/>
    </row>
    <row r="38" spans="4:16">
      <c r="D38" s="15" t="s">
        <v>15</v>
      </c>
      <c r="E38" s="51">
        <f>COUNTIF(E3:E18,"&gt;0")/E37</f>
        <v>0.33333333333333331</v>
      </c>
      <c r="F38" t="str">
        <f ca="1">_xlfn.FORMULATEXT(E38)</f>
        <v>=COUNTIF(E3:E18,"&gt;0")/E37</v>
      </c>
      <c r="I38" s="13">
        <v>44742</v>
      </c>
      <c r="J38" s="5">
        <v>3.0129000000000001</v>
      </c>
      <c r="K38" s="5"/>
    </row>
    <row r="39" spans="4:16" ht="16.8" thickBot="1">
      <c r="D39" s="16" t="s">
        <v>16</v>
      </c>
      <c r="E39" s="53">
        <f>COUNTIF(E3:E18,"&lt;0")/E37</f>
        <v>0.66666666666666663</v>
      </c>
      <c r="F39" t="str">
        <f ca="1">_xlfn.FORMULATEXT(E39)</f>
        <v>=COUNTIF(E3:E18,"&lt;0")/E37</v>
      </c>
      <c r="I39" s="13">
        <v>44711</v>
      </c>
      <c r="J39" s="5">
        <v>2.8441000000000001</v>
      </c>
      <c r="K39" s="5"/>
    </row>
    <row r="40" spans="4:16">
      <c r="I40" s="13">
        <v>44680</v>
      </c>
      <c r="J40" s="5">
        <v>2.9336000000000002</v>
      </c>
      <c r="K40" s="5"/>
    </row>
    <row r="41" spans="4:16">
      <c r="I41" s="13">
        <v>44651</v>
      </c>
      <c r="J41" s="5">
        <v>2.3433999999999999</v>
      </c>
      <c r="K41" s="5"/>
    </row>
    <row r="42" spans="4:16">
      <c r="I42" s="13">
        <v>44620</v>
      </c>
      <c r="J42" s="5">
        <v>1.825</v>
      </c>
      <c r="K42" s="5"/>
    </row>
    <row r="43" spans="4:16">
      <c r="I43" s="13">
        <v>44592</v>
      </c>
      <c r="J43" s="5">
        <v>1.7766999999999999</v>
      </c>
      <c r="K43" s="5"/>
    </row>
    <row r="44" spans="4:16">
      <c r="I44" s="13">
        <v>44561</v>
      </c>
      <c r="J44" s="5">
        <v>1.5101</v>
      </c>
      <c r="K44" s="5"/>
    </row>
    <row r="45" spans="4:16">
      <c r="I45" s="13">
        <v>44530</v>
      </c>
      <c r="J45" s="5">
        <v>1.4442999999999999</v>
      </c>
    </row>
    <row r="46" spans="4:16">
      <c r="I46" s="13">
        <v>44498</v>
      </c>
      <c r="J46" s="5">
        <v>1.5521</v>
      </c>
    </row>
    <row r="47" spans="4:16">
      <c r="I47" s="13" t="s">
        <v>24</v>
      </c>
      <c r="J47" s="5">
        <v>1.4873000000000001</v>
      </c>
    </row>
    <row r="48" spans="4:16">
      <c r="I48" s="13">
        <v>44439</v>
      </c>
      <c r="J48" s="5">
        <v>1.3088</v>
      </c>
    </row>
    <row r="49" spans="9:10">
      <c r="I49" s="13">
        <v>44408</v>
      </c>
      <c r="J49" s="5">
        <v>1.2222999999999999</v>
      </c>
    </row>
    <row r="50" spans="9:10">
      <c r="I50" s="13">
        <v>44377</v>
      </c>
      <c r="J50" s="5">
        <v>1.468</v>
      </c>
    </row>
    <row r="51" spans="9:10">
      <c r="I51" s="13">
        <v>44347</v>
      </c>
      <c r="J51" s="5">
        <v>1.5943000000000001</v>
      </c>
    </row>
    <row r="52" spans="9:10">
      <c r="I52" s="13">
        <v>44316</v>
      </c>
      <c r="J52" s="5">
        <v>1.6259000000000001</v>
      </c>
    </row>
    <row r="53" spans="9:10">
      <c r="I53" s="13">
        <v>44286</v>
      </c>
      <c r="J53" s="5">
        <v>1.7403999999999999</v>
      </c>
    </row>
    <row r="54" spans="9:10">
      <c r="I54" s="13">
        <v>44253</v>
      </c>
      <c r="J54" s="5">
        <v>1.4049</v>
      </c>
    </row>
    <row r="55" spans="9:10">
      <c r="I55" s="13">
        <v>44225</v>
      </c>
      <c r="J55" s="5">
        <v>1.0655000000000001</v>
      </c>
    </row>
    <row r="56" spans="9:10">
      <c r="I56" s="13">
        <v>44196</v>
      </c>
      <c r="J56" s="5">
        <v>0.91320000000000001</v>
      </c>
    </row>
    <row r="57" spans="9:10">
      <c r="I57" s="13">
        <v>44165</v>
      </c>
      <c r="J57" s="5">
        <v>0.83889999999999998</v>
      </c>
    </row>
    <row r="58" spans="9:10">
      <c r="I58" s="13">
        <v>44134</v>
      </c>
      <c r="J58" s="5">
        <v>0.87370000000000003</v>
      </c>
    </row>
    <row r="59" spans="9:10">
      <c r="I59" s="13">
        <v>44104</v>
      </c>
      <c r="J59" s="5">
        <v>0.68400000000000005</v>
      </c>
    </row>
    <row r="60" spans="9:10">
      <c r="I60" s="13">
        <v>44074</v>
      </c>
      <c r="J60" s="5">
        <v>0.70479999999999998</v>
      </c>
    </row>
    <row r="61" spans="9:10">
      <c r="I61" s="13">
        <v>44043</v>
      </c>
      <c r="J61" s="5">
        <v>0.5282</v>
      </c>
    </row>
    <row r="62" spans="9:10">
      <c r="I62" s="13">
        <v>44012</v>
      </c>
      <c r="J62" s="5">
        <v>0.65610000000000002</v>
      </c>
    </row>
  </sheetData>
  <mergeCells count="1">
    <mergeCell ref="D20:E21"/>
  </mergeCells>
  <phoneticPr fontId="30" type="noConversion"/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6C1F9-9A99-4EFF-90B0-912508A0C74F}">
  <dimension ref="B1:AF59"/>
  <sheetViews>
    <sheetView zoomScale="85" zoomScaleNormal="85" workbookViewId="0">
      <selection activeCell="E29" sqref="E29"/>
    </sheetView>
  </sheetViews>
  <sheetFormatPr defaultRowHeight="16.2"/>
  <cols>
    <col min="1" max="1" width="16.44140625" customWidth="1"/>
    <col min="2" max="2" width="16.21875" customWidth="1"/>
    <col min="3" max="3" width="17" customWidth="1"/>
    <col min="4" max="4" width="28" customWidth="1"/>
    <col min="5" max="5" width="21.44140625" customWidth="1"/>
    <col min="6" max="6" width="20.44140625" customWidth="1"/>
    <col min="7" max="7" width="23.6640625" customWidth="1"/>
    <col min="9" max="9" width="11.5546875" customWidth="1"/>
    <col min="15" max="15" width="27.21875" customWidth="1"/>
    <col min="18" max="18" width="27.109375" customWidth="1"/>
    <col min="19" max="19" width="9.44140625" bestFit="1" customWidth="1"/>
  </cols>
  <sheetData>
    <row r="1" spans="2:32">
      <c r="B1" t="s">
        <v>39</v>
      </c>
      <c r="D1" t="s">
        <v>0</v>
      </c>
      <c r="E1" t="s">
        <v>8</v>
      </c>
    </row>
    <row r="2" spans="2:32">
      <c r="C2" t="s">
        <v>25</v>
      </c>
      <c r="D2">
        <v>100</v>
      </c>
    </row>
    <row r="3" spans="2:32">
      <c r="B3" s="38">
        <v>515058.38</v>
      </c>
      <c r="C3" s="37">
        <v>44749</v>
      </c>
      <c r="D3">
        <f>B3/5000</f>
        <v>103.01167599999999</v>
      </c>
      <c r="E3" s="1">
        <f>(D3-100)/100</f>
        <v>3.0116759999999944E-2</v>
      </c>
      <c r="F3" s="22">
        <f>E3+1</f>
        <v>1.0301167599999999</v>
      </c>
    </row>
    <row r="4" spans="2:32">
      <c r="B4" s="38">
        <v>526213.68000000005</v>
      </c>
      <c r="C4" s="37">
        <v>44780</v>
      </c>
      <c r="D4">
        <f t="shared" ref="D4:D5" si="0">B4/5000</f>
        <v>105.24273600000001</v>
      </c>
      <c r="E4" s="1">
        <f>D4/D3-1</f>
        <v>2.1658321528522873E-2</v>
      </c>
      <c r="F4" s="22">
        <f>E4+1</f>
        <v>1.0216583215285229</v>
      </c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2:32">
      <c r="B5" s="38">
        <v>499085</v>
      </c>
      <c r="C5" s="54">
        <v>44811</v>
      </c>
      <c r="D5" s="55">
        <f t="shared" si="0"/>
        <v>99.816999999999993</v>
      </c>
      <c r="E5" s="1">
        <f t="shared" ref="E5:E8" si="1">D5/D4-1</f>
        <v>-5.1554493984269034E-2</v>
      </c>
      <c r="F5" s="22">
        <f>E5+1</f>
        <v>0.94844550601573097</v>
      </c>
    </row>
    <row r="6" spans="2:32">
      <c r="B6" s="38">
        <v>784518</v>
      </c>
      <c r="C6" s="37">
        <v>44835</v>
      </c>
      <c r="D6">
        <f>B6/8000</f>
        <v>98.064750000000004</v>
      </c>
      <c r="E6" s="1">
        <f t="shared" si="1"/>
        <v>-1.755462496368343E-2</v>
      </c>
      <c r="F6" s="22">
        <f t="shared" ref="F6:F8" si="2">E6+1</f>
        <v>0.98244537503631657</v>
      </c>
    </row>
    <row r="7" spans="2:32">
      <c r="B7" s="38">
        <v>788818</v>
      </c>
      <c r="C7" s="37">
        <v>44866</v>
      </c>
      <c r="D7">
        <f t="shared" ref="D7:D8" si="3">B7/8000</f>
        <v>98.602249999999998</v>
      </c>
      <c r="E7" s="1">
        <f t="shared" si="1"/>
        <v>5.4810724546792144E-3</v>
      </c>
      <c r="F7" s="22">
        <f t="shared" si="2"/>
        <v>1.0054810724546792</v>
      </c>
    </row>
    <row r="8" spans="2:32">
      <c r="B8" s="38">
        <v>764376</v>
      </c>
      <c r="C8" s="54">
        <v>44896</v>
      </c>
      <c r="D8" s="55">
        <f t="shared" si="3"/>
        <v>95.546999999999997</v>
      </c>
      <c r="E8" s="1">
        <f t="shared" si="1"/>
        <v>-3.0985601241350968E-2</v>
      </c>
      <c r="F8" s="22">
        <f t="shared" si="2"/>
        <v>0.96901439875864903</v>
      </c>
      <c r="G8" s="1">
        <f>D8/D5-1</f>
        <v>-4.2778284260196142E-2</v>
      </c>
    </row>
    <row r="9" spans="2:32">
      <c r="C9" s="3"/>
      <c r="D9" s="2"/>
      <c r="E9" s="1"/>
      <c r="F9" s="22"/>
    </row>
    <row r="10" spans="2:32">
      <c r="C10" s="3"/>
      <c r="D10" s="2"/>
      <c r="E10" s="27"/>
      <c r="F10" s="22"/>
    </row>
    <row r="11" spans="2:32">
      <c r="C11" s="3"/>
      <c r="D11" s="2"/>
      <c r="E11" s="27"/>
      <c r="F11" s="22"/>
    </row>
    <row r="12" spans="2:32">
      <c r="C12" s="3"/>
      <c r="D12" s="2"/>
      <c r="E12" s="27"/>
      <c r="F12" s="22"/>
    </row>
    <row r="13" spans="2:32">
      <c r="C13" s="3"/>
      <c r="D13" s="2"/>
      <c r="E13" s="27"/>
      <c r="F13" s="22"/>
    </row>
    <row r="14" spans="2:32">
      <c r="C14" s="3"/>
      <c r="D14" s="2"/>
      <c r="E14" s="27"/>
      <c r="F14" s="22"/>
      <c r="G14" s="18"/>
    </row>
    <row r="15" spans="2:32">
      <c r="C15" s="3"/>
      <c r="D15" s="2"/>
      <c r="E15" s="27"/>
      <c r="F15" s="22"/>
      <c r="G15" s="18"/>
    </row>
    <row r="16" spans="2:32">
      <c r="C16" s="3"/>
      <c r="D16" s="2"/>
      <c r="E16" s="27"/>
      <c r="F16" s="22"/>
    </row>
    <row r="17" spans="2:18">
      <c r="C17" s="3"/>
      <c r="D17" s="2"/>
      <c r="E17" s="27"/>
      <c r="F17" s="22"/>
    </row>
    <row r="18" spans="2:18">
      <c r="C18" s="3"/>
      <c r="D18" s="2"/>
      <c r="E18" s="27"/>
      <c r="F18" s="22"/>
    </row>
    <row r="19" spans="2:18" ht="16.8" thickBot="1">
      <c r="C19" s="3"/>
      <c r="E19" s="27"/>
    </row>
    <row r="20" spans="2:18">
      <c r="D20" s="82" t="s">
        <v>4</v>
      </c>
      <c r="E20" s="83"/>
    </row>
    <row r="21" spans="2:18">
      <c r="D21" s="84"/>
      <c r="E21" s="85"/>
      <c r="G21" s="1"/>
    </row>
    <row r="22" spans="2:18">
      <c r="D22" s="14" t="s">
        <v>6</v>
      </c>
      <c r="E22" s="23">
        <v>44749</v>
      </c>
    </row>
    <row r="23" spans="2:18">
      <c r="D23" s="14" t="s">
        <v>7</v>
      </c>
      <c r="E23" s="23">
        <v>44925</v>
      </c>
    </row>
    <row r="24" spans="2:18">
      <c r="D24" s="15" t="s">
        <v>1</v>
      </c>
      <c r="E24" s="4">
        <f>(D8-100)/100</f>
        <v>-4.4530000000000028E-2</v>
      </c>
      <c r="F24" t="str">
        <f ca="1">_xlfn.FORMULATEXT(E24)</f>
        <v>=(D8-100)/100</v>
      </c>
      <c r="O24" s="12"/>
      <c r="P24" s="19"/>
      <c r="R24" s="29"/>
    </row>
    <row r="25" spans="2:18">
      <c r="D25" s="15" t="s">
        <v>2</v>
      </c>
      <c r="E25" s="4">
        <f>(D8-D2)/D2</f>
        <v>-4.4530000000000028E-2</v>
      </c>
      <c r="F25" t="str">
        <f t="shared" ref="F25:F35" ca="1" si="4">_xlfn.FORMULATEXT(E25)</f>
        <v>=(D8-D2)/D2</v>
      </c>
      <c r="O25" s="12"/>
      <c r="P25" s="46"/>
    </row>
    <row r="26" spans="2:18">
      <c r="D26" s="15" t="s">
        <v>36</v>
      </c>
      <c r="E26" s="4">
        <f>STDEVA(E3:E8)</f>
        <v>3.1706230762094008E-2</v>
      </c>
      <c r="F26" t="str">
        <f t="shared" ca="1" si="4"/>
        <v>=STDEVA(E3:E8)</v>
      </c>
      <c r="I26" t="s">
        <v>9</v>
      </c>
      <c r="O26" s="30" t="s">
        <v>32</v>
      </c>
      <c r="P26" s="47">
        <f>E24</f>
        <v>-4.4530000000000028E-2</v>
      </c>
    </row>
    <row r="27" spans="2:18">
      <c r="D27" s="40" t="s">
        <v>35</v>
      </c>
      <c r="E27" s="4">
        <f>STDEVA(E3:E8)</f>
        <v>3.1706230762094008E-2</v>
      </c>
      <c r="F27" t="str">
        <f t="shared" ca="1" si="4"/>
        <v>=STDEVA(E3:E8)</v>
      </c>
      <c r="I27">
        <f>AVERAGE(J29:J40)</f>
        <v>2.9944666666666673</v>
      </c>
      <c r="O27" s="29" t="s">
        <v>33</v>
      </c>
      <c r="P27" s="47">
        <f>E25</f>
        <v>-4.4530000000000028E-2</v>
      </c>
    </row>
    <row r="28" spans="2:18">
      <c r="B28" s="6"/>
      <c r="D28" s="15" t="s">
        <v>13</v>
      </c>
      <c r="E28" s="7">
        <f>E23-E22</f>
        <v>176</v>
      </c>
      <c r="F28" t="str">
        <f ca="1">_xlfn.FORMULATEXT(E28)</f>
        <v>=E23-E22</v>
      </c>
      <c r="I28" s="5" t="s">
        <v>10</v>
      </c>
      <c r="J28" s="5" t="s">
        <v>11</v>
      </c>
      <c r="K28" s="5"/>
      <c r="O28" s="30" t="s">
        <v>20</v>
      </c>
      <c r="P28" s="47">
        <f>E29</f>
        <v>-8.7077079099999954E-2</v>
      </c>
    </row>
    <row r="29" spans="2:18">
      <c r="D29" s="15" t="s">
        <v>12</v>
      </c>
      <c r="E29" s="4">
        <f>(PRODUCT(F3:F8))^(12/COUNT(F3:F8))-1</f>
        <v>-8.7077079099999954E-2</v>
      </c>
      <c r="F29" t="str">
        <f t="shared" ca="1" si="4"/>
        <v>=(PRODUCT(F3:F8))^(12/COUNT(F3:F8))-1</v>
      </c>
      <c r="I29" s="13">
        <v>44925</v>
      </c>
      <c r="J29" s="5">
        <v>3.8748</v>
      </c>
      <c r="K29" s="5"/>
      <c r="O29" s="29" t="s">
        <v>45</v>
      </c>
      <c r="P29" s="48">
        <f>E38</f>
        <v>0.5</v>
      </c>
    </row>
    <row r="30" spans="2:18">
      <c r="D30" s="24" t="s">
        <v>37</v>
      </c>
      <c r="E30" s="8">
        <f>MAX(E3:E16)</f>
        <v>3.0116759999999944E-2</v>
      </c>
      <c r="F30" t="str">
        <f t="shared" ca="1" si="4"/>
        <v>=MAX(E3:E16)</v>
      </c>
      <c r="I30" s="13">
        <v>44895</v>
      </c>
      <c r="J30" s="5">
        <v>3.6053999999999999</v>
      </c>
      <c r="O30" s="30" t="s">
        <v>43</v>
      </c>
      <c r="P30" s="48">
        <f>E39</f>
        <v>0.5</v>
      </c>
    </row>
    <row r="31" spans="2:18">
      <c r="D31" s="15" t="s">
        <v>44</v>
      </c>
      <c r="E31" s="8">
        <f>MIN(E3:E17)</f>
        <v>-5.1554493984269034E-2</v>
      </c>
      <c r="F31" t="str">
        <f t="shared" ca="1" si="4"/>
        <v>=MIN(E3:E17)</v>
      </c>
      <c r="I31" s="25">
        <v>44865</v>
      </c>
      <c r="J31" s="5">
        <v>4.0477999999999996</v>
      </c>
      <c r="O31" s="29" t="s">
        <v>21</v>
      </c>
      <c r="P31" s="47">
        <f>E32</f>
        <v>0.10983360519290021</v>
      </c>
    </row>
    <row r="32" spans="2:18">
      <c r="D32" s="15" t="s">
        <v>17</v>
      </c>
      <c r="E32" s="4">
        <f>E26*SQRT(12)</f>
        <v>0.10983360519290021</v>
      </c>
      <c r="F32" t="str">
        <f ca="1">_xlfn.FORMULATEXT(E32)</f>
        <v>=E26*SQRT(12)</v>
      </c>
      <c r="I32" s="13">
        <v>44834</v>
      </c>
      <c r="J32" s="5">
        <v>3.8285999999999998</v>
      </c>
      <c r="O32" s="30" t="s">
        <v>22</v>
      </c>
      <c r="P32" s="49">
        <f>E35</f>
        <v>-1.0654457309412899</v>
      </c>
    </row>
    <row r="33" spans="4:16">
      <c r="D33" s="15" t="s">
        <v>18</v>
      </c>
      <c r="E33" s="4">
        <f>E27*SQRT(12)</f>
        <v>0.10983360519290021</v>
      </c>
      <c r="F33" t="str">
        <f t="shared" ca="1" si="4"/>
        <v>=E27*SQRT(12)</v>
      </c>
      <c r="I33" s="13">
        <v>44804</v>
      </c>
      <c r="J33" s="5">
        <v>3.1926000000000001</v>
      </c>
      <c r="K33" s="5"/>
      <c r="O33" s="29"/>
      <c r="P33" s="35"/>
    </row>
    <row r="34" spans="4:16">
      <c r="D34" s="15" t="s">
        <v>5</v>
      </c>
      <c r="E34" s="4">
        <f>I27/100</f>
        <v>2.9944666666666672E-2</v>
      </c>
      <c r="F34" t="str">
        <f ca="1">_xlfn.FORMULATEXT(E34)</f>
        <v>=I27/100</v>
      </c>
      <c r="I34" s="13">
        <v>44772</v>
      </c>
      <c r="J34" s="5">
        <v>2.6486999999999998</v>
      </c>
      <c r="K34" s="5"/>
      <c r="P34" s="19"/>
    </row>
    <row r="35" spans="4:16">
      <c r="D35" s="15" t="s">
        <v>3</v>
      </c>
      <c r="E35" s="26">
        <f>(E29-E34)/E32</f>
        <v>-1.0654457309412899</v>
      </c>
      <c r="F35" t="str">
        <f t="shared" ca="1" si="4"/>
        <v>=(E29-E34)/E32</v>
      </c>
      <c r="I35" s="13">
        <v>44742</v>
      </c>
      <c r="J35" s="5">
        <v>3.0129000000000001</v>
      </c>
      <c r="K35" s="5"/>
      <c r="O35" s="12"/>
      <c r="P35" s="19"/>
    </row>
    <row r="36" spans="4:16">
      <c r="D36" s="15" t="s">
        <v>19</v>
      </c>
      <c r="E36" s="4">
        <f>D6/D4-1</f>
        <v>-6.8204099140866115E-2</v>
      </c>
      <c r="F36" t="str">
        <f ca="1">_xlfn.FORMULATEXT(E36)</f>
        <v>=D6/D4-1</v>
      </c>
      <c r="I36" s="13">
        <v>44711</v>
      </c>
      <c r="J36" s="5">
        <v>2.8441000000000001</v>
      </c>
      <c r="K36" s="5"/>
    </row>
    <row r="37" spans="4:16">
      <c r="D37" s="15" t="s">
        <v>14</v>
      </c>
      <c r="E37" s="7">
        <f>COUNT(E3:E18)</f>
        <v>6</v>
      </c>
      <c r="F37" t="str">
        <f ca="1">_xlfn.FORMULATEXT(E37)</f>
        <v>=COUNT(E3:E18)</v>
      </c>
      <c r="I37" s="13">
        <v>44680</v>
      </c>
      <c r="J37" s="5">
        <v>2.9336000000000002</v>
      </c>
      <c r="K37" s="5"/>
    </row>
    <row r="38" spans="4:16">
      <c r="D38" s="15" t="s">
        <v>15</v>
      </c>
      <c r="E38" s="51">
        <f>COUNTIF(E3:E18,"&gt;0")/E37</f>
        <v>0.5</v>
      </c>
      <c r="F38" t="str">
        <f ca="1">_xlfn.FORMULATEXT(E38)</f>
        <v>=COUNTIF(E3:E18,"&gt;0")/E37</v>
      </c>
      <c r="I38" s="13">
        <v>44651</v>
      </c>
      <c r="J38" s="5">
        <v>2.3433999999999999</v>
      </c>
      <c r="K38" s="5"/>
    </row>
    <row r="39" spans="4:16" ht="16.8" thickBot="1">
      <c r="D39" s="16" t="s">
        <v>16</v>
      </c>
      <c r="E39" s="53">
        <f>COUNTIF(E3:E18,"&lt;0")/E37</f>
        <v>0.5</v>
      </c>
      <c r="F39" t="str">
        <f ca="1">_xlfn.FORMULATEXT(E39)</f>
        <v>=COUNTIF(E3:E18,"&lt;0")/E37</v>
      </c>
      <c r="I39" s="13">
        <v>44620</v>
      </c>
      <c r="J39" s="5">
        <v>1.825</v>
      </c>
      <c r="K39" s="5"/>
    </row>
    <row r="40" spans="4:16">
      <c r="I40" s="13">
        <v>44592</v>
      </c>
      <c r="J40" s="5">
        <v>1.7766999999999999</v>
      </c>
      <c r="K40" s="5"/>
    </row>
    <row r="41" spans="4:16">
      <c r="I41" s="13">
        <v>44561</v>
      </c>
      <c r="J41" s="5">
        <v>1.5101</v>
      </c>
      <c r="K41" s="5"/>
    </row>
    <row r="42" spans="4:16">
      <c r="I42" s="13">
        <v>44530</v>
      </c>
      <c r="J42" s="5">
        <v>1.4442999999999999</v>
      </c>
      <c r="K42" s="5"/>
    </row>
    <row r="43" spans="4:16">
      <c r="I43" s="13">
        <v>44498</v>
      </c>
      <c r="J43" s="5">
        <v>1.5521</v>
      </c>
      <c r="K43" s="5"/>
    </row>
    <row r="44" spans="4:16">
      <c r="I44" s="13" t="s">
        <v>24</v>
      </c>
      <c r="J44" s="5">
        <v>1.4873000000000001</v>
      </c>
      <c r="K44" s="5"/>
    </row>
    <row r="45" spans="4:16">
      <c r="I45" s="13">
        <v>44439</v>
      </c>
      <c r="J45" s="5">
        <v>1.3088</v>
      </c>
    </row>
    <row r="46" spans="4:16">
      <c r="I46" s="13">
        <v>44408</v>
      </c>
      <c r="J46" s="5">
        <v>1.2222999999999999</v>
      </c>
    </row>
    <row r="47" spans="4:16">
      <c r="I47" s="13">
        <v>44377</v>
      </c>
      <c r="J47" s="5">
        <v>1.468</v>
      </c>
    </row>
    <row r="48" spans="4:16">
      <c r="I48" s="13">
        <v>44347</v>
      </c>
      <c r="J48" s="5">
        <v>1.5943000000000001</v>
      </c>
    </row>
    <row r="49" spans="9:10">
      <c r="I49" s="13">
        <v>44316</v>
      </c>
      <c r="J49" s="5">
        <v>1.6259000000000001</v>
      </c>
    </row>
    <row r="50" spans="9:10">
      <c r="I50" s="13">
        <v>44286</v>
      </c>
      <c r="J50" s="5">
        <v>1.7403999999999999</v>
      </c>
    </row>
    <row r="51" spans="9:10">
      <c r="I51" s="13">
        <v>44253</v>
      </c>
      <c r="J51" s="5">
        <v>1.4049</v>
      </c>
    </row>
    <row r="52" spans="9:10">
      <c r="I52" s="13">
        <v>44225</v>
      </c>
      <c r="J52" s="5">
        <v>1.0655000000000001</v>
      </c>
    </row>
    <row r="53" spans="9:10">
      <c r="I53" s="13">
        <v>44196</v>
      </c>
      <c r="J53" s="5">
        <v>0.91320000000000001</v>
      </c>
    </row>
    <row r="54" spans="9:10">
      <c r="I54" s="13">
        <v>44165</v>
      </c>
      <c r="J54" s="5">
        <v>0.83889999999999998</v>
      </c>
    </row>
    <row r="55" spans="9:10">
      <c r="I55" s="13">
        <v>44134</v>
      </c>
      <c r="J55" s="5">
        <v>0.87370000000000003</v>
      </c>
    </row>
    <row r="56" spans="9:10">
      <c r="I56" s="13">
        <v>44104</v>
      </c>
      <c r="J56" s="5">
        <v>0.68400000000000005</v>
      </c>
    </row>
    <row r="57" spans="9:10">
      <c r="I57" s="13">
        <v>44074</v>
      </c>
      <c r="J57" s="5">
        <v>0.70479999999999998</v>
      </c>
    </row>
    <row r="58" spans="9:10">
      <c r="I58" s="13">
        <v>44043</v>
      </c>
      <c r="J58" s="5">
        <v>0.5282</v>
      </c>
    </row>
    <row r="59" spans="9:10">
      <c r="I59" s="13">
        <v>44012</v>
      </c>
      <c r="J59" s="5">
        <v>0.65610000000000002</v>
      </c>
    </row>
  </sheetData>
  <mergeCells count="1">
    <mergeCell ref="D20:E21"/>
  </mergeCells>
  <phoneticPr fontId="30" type="noConversion"/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C8502-C611-4A88-AEED-DF94E8C53FB8}">
  <dimension ref="B1:AF59"/>
  <sheetViews>
    <sheetView zoomScale="40" zoomScaleNormal="40" workbookViewId="0">
      <selection activeCell="R47" sqref="R47"/>
    </sheetView>
  </sheetViews>
  <sheetFormatPr defaultRowHeight="16.2"/>
  <cols>
    <col min="1" max="1" width="31.5546875" customWidth="1"/>
    <col min="2" max="2" width="16.21875" customWidth="1"/>
    <col min="3" max="3" width="17" customWidth="1"/>
    <col min="4" max="4" width="28" customWidth="1"/>
    <col min="5" max="5" width="21.44140625" customWidth="1"/>
    <col min="6" max="6" width="20.44140625" customWidth="1"/>
    <col min="7" max="7" width="23.6640625" customWidth="1"/>
    <col min="9" max="9" width="11.5546875" customWidth="1"/>
    <col min="15" max="15" width="27.21875" customWidth="1"/>
    <col min="16" max="16" width="10.109375" bestFit="1" customWidth="1"/>
    <col min="18" max="18" width="21.77734375" customWidth="1"/>
    <col min="19" max="19" width="10.21875" bestFit="1" customWidth="1"/>
  </cols>
  <sheetData>
    <row r="1" spans="2:32">
      <c r="B1" t="s">
        <v>39</v>
      </c>
      <c r="D1" t="s">
        <v>0</v>
      </c>
      <c r="E1" t="s">
        <v>8</v>
      </c>
    </row>
    <row r="2" spans="2:32">
      <c r="C2" t="s">
        <v>25</v>
      </c>
      <c r="D2" s="2">
        <v>100</v>
      </c>
    </row>
    <row r="3" spans="2:32">
      <c r="B3" s="38">
        <v>515058.38</v>
      </c>
      <c r="C3" s="37">
        <v>44749</v>
      </c>
      <c r="D3" s="2">
        <f>B3/5000</f>
        <v>103.01167599999999</v>
      </c>
      <c r="E3" s="1">
        <f>(D3-100)/100</f>
        <v>3.0116759999999944E-2</v>
      </c>
      <c r="F3" s="22">
        <f>E3+1</f>
        <v>1.0301167599999999</v>
      </c>
    </row>
    <row r="4" spans="2:32">
      <c r="B4" s="38">
        <v>526213.68000000005</v>
      </c>
      <c r="C4" s="37">
        <v>44780</v>
      </c>
      <c r="D4" s="2">
        <f t="shared" ref="D4:D5" si="0">B4/5000</f>
        <v>105.24273600000001</v>
      </c>
      <c r="E4" s="1">
        <f>D4/D3-1</f>
        <v>2.1658321528522873E-2</v>
      </c>
      <c r="F4" s="22">
        <f>E4+1</f>
        <v>1.0216583215285229</v>
      </c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2:32">
      <c r="B5" s="38">
        <v>499085</v>
      </c>
      <c r="C5" s="54">
        <v>44811</v>
      </c>
      <c r="D5" s="56">
        <f t="shared" si="0"/>
        <v>99.816999999999993</v>
      </c>
      <c r="E5" s="1">
        <f>D5/D4-1</f>
        <v>-5.1554493984269034E-2</v>
      </c>
      <c r="F5" s="22">
        <f>E5+1</f>
        <v>0.94844550601573097</v>
      </c>
    </row>
    <row r="6" spans="2:32">
      <c r="C6" s="3"/>
      <c r="D6" s="2"/>
      <c r="E6" s="1"/>
      <c r="F6" s="22"/>
    </row>
    <row r="7" spans="2:32">
      <c r="C7" s="3"/>
      <c r="D7" s="2"/>
      <c r="E7" s="1"/>
      <c r="F7" s="22"/>
    </row>
    <row r="8" spans="2:32">
      <c r="C8" s="3"/>
      <c r="D8" s="2"/>
      <c r="E8" s="1"/>
      <c r="F8" s="22"/>
    </row>
    <row r="9" spans="2:32">
      <c r="C9" s="3"/>
      <c r="D9" s="2"/>
      <c r="E9" s="1"/>
      <c r="F9" s="22"/>
    </row>
    <row r="10" spans="2:32">
      <c r="C10" s="3"/>
      <c r="D10" s="2"/>
      <c r="E10" s="1"/>
      <c r="F10" s="22"/>
    </row>
    <row r="11" spans="2:32">
      <c r="C11" s="3"/>
      <c r="D11" s="2"/>
      <c r="E11" s="1"/>
      <c r="F11" s="22"/>
    </row>
    <row r="12" spans="2:32">
      <c r="C12" s="3"/>
      <c r="D12" s="2"/>
      <c r="E12" s="36"/>
      <c r="F12" s="22"/>
    </row>
    <row r="13" spans="2:32">
      <c r="C13" s="3"/>
      <c r="D13" s="2"/>
      <c r="E13" s="1"/>
      <c r="F13" s="22"/>
    </row>
    <row r="14" spans="2:32">
      <c r="C14" s="3"/>
      <c r="D14" s="2"/>
      <c r="E14" s="1"/>
      <c r="F14" s="50"/>
    </row>
    <row r="15" spans="2:32">
      <c r="C15" s="3"/>
      <c r="D15" s="2"/>
      <c r="E15" s="1"/>
      <c r="F15" s="22"/>
    </row>
    <row r="16" spans="2:32">
      <c r="C16" s="3"/>
      <c r="D16" s="2"/>
      <c r="E16" s="1"/>
      <c r="F16" s="22"/>
    </row>
    <row r="17" spans="2:18">
      <c r="C17" s="3"/>
      <c r="D17" s="2"/>
      <c r="E17" s="1"/>
      <c r="F17" s="22"/>
    </row>
    <row r="18" spans="2:18">
      <c r="C18" s="3"/>
      <c r="D18" s="2"/>
      <c r="E18" s="1"/>
      <c r="F18" s="22"/>
    </row>
    <row r="19" spans="2:18">
      <c r="C19" s="3"/>
      <c r="D19" s="2"/>
      <c r="E19" s="1"/>
      <c r="F19" s="22"/>
    </row>
    <row r="20" spans="2:18">
      <c r="C20" s="3"/>
      <c r="D20" s="2"/>
      <c r="E20" s="1"/>
      <c r="F20" s="22"/>
    </row>
    <row r="21" spans="2:18">
      <c r="C21" s="3"/>
      <c r="D21" s="2"/>
      <c r="E21" s="1"/>
      <c r="F21" s="22"/>
    </row>
    <row r="22" spans="2:18" ht="16.8" thickBot="1"/>
    <row r="23" spans="2:18">
      <c r="D23" s="82" t="s">
        <v>4</v>
      </c>
      <c r="E23" s="83"/>
    </row>
    <row r="24" spans="2:18">
      <c r="D24" s="84"/>
      <c r="E24" s="85"/>
      <c r="G24" s="1"/>
    </row>
    <row r="25" spans="2:18">
      <c r="D25" s="14" t="s">
        <v>6</v>
      </c>
      <c r="E25" s="23">
        <v>44749</v>
      </c>
      <c r="P25" s="31"/>
    </row>
    <row r="26" spans="2:18">
      <c r="D26" s="14" t="s">
        <v>7</v>
      </c>
      <c r="E26" s="23">
        <v>44834</v>
      </c>
      <c r="O26" s="30" t="s">
        <v>32</v>
      </c>
      <c r="P26" s="47">
        <f>E27</f>
        <v>-1.8300000000000694E-3</v>
      </c>
    </row>
    <row r="27" spans="2:18">
      <c r="D27" s="15" t="s">
        <v>1</v>
      </c>
      <c r="E27" s="4">
        <f>(D5-100)/100</f>
        <v>-1.8300000000000694E-3</v>
      </c>
      <c r="F27" t="str">
        <f ca="1">_xlfn.FORMULATEXT(E27)</f>
        <v>=(D5-100)/100</v>
      </c>
      <c r="O27" s="29" t="s">
        <v>33</v>
      </c>
      <c r="P27" s="47">
        <f>E28</f>
        <v>-1.8300000000000694E-3</v>
      </c>
      <c r="R27" s="29"/>
    </row>
    <row r="28" spans="2:18">
      <c r="D28" s="15" t="s">
        <v>2</v>
      </c>
      <c r="E28" s="4">
        <f>(D5-D2)/D2</f>
        <v>-1.8300000000000694E-3</v>
      </c>
      <c r="F28" t="str">
        <f t="shared" ref="F28:F38" ca="1" si="1">_xlfn.FORMULATEXT(E28)</f>
        <v>=(D5-D2)/D2</v>
      </c>
      <c r="O28" s="30" t="s">
        <v>20</v>
      </c>
      <c r="P28" s="47">
        <f>E32</f>
        <v>-7.2999311027333036E-3</v>
      </c>
    </row>
    <row r="29" spans="2:18">
      <c r="D29" s="15" t="s">
        <v>36</v>
      </c>
      <c r="E29" s="4">
        <f>STDEVA(E3:E5)</f>
        <v>4.4910754584414112E-2</v>
      </c>
      <c r="F29" t="str">
        <f t="shared" ca="1" si="1"/>
        <v>=STDEVA(E3:E5)</v>
      </c>
      <c r="I29" t="s">
        <v>9</v>
      </c>
      <c r="O29" s="29" t="s">
        <v>45</v>
      </c>
      <c r="P29" s="48">
        <f>E41</f>
        <v>0.66666666666666663</v>
      </c>
    </row>
    <row r="30" spans="2:18">
      <c r="D30" s="40" t="s">
        <v>35</v>
      </c>
      <c r="E30" s="4">
        <f>STDEVA(E3:E5)</f>
        <v>4.4910754584414112E-2</v>
      </c>
      <c r="F30" t="str">
        <f t="shared" ca="1" si="1"/>
        <v>=STDEVA(E3:E5)</v>
      </c>
      <c r="I30">
        <f>AVERAGE(J32:J43)</f>
        <v>2.4093416666666667</v>
      </c>
      <c r="O30" s="30" t="s">
        <v>43</v>
      </c>
      <c r="P30" s="48">
        <f>E42</f>
        <v>0.33333333333333331</v>
      </c>
    </row>
    <row r="31" spans="2:18">
      <c r="B31" s="6"/>
      <c r="D31" s="15" t="s">
        <v>13</v>
      </c>
      <c r="E31" s="7">
        <f>E26-E25</f>
        <v>85</v>
      </c>
      <c r="F31" t="str">
        <f ca="1">_xlfn.FORMULATEXT(E31)</f>
        <v>=E26-E25</v>
      </c>
      <c r="I31" s="5" t="s">
        <v>10</v>
      </c>
      <c r="J31" s="5" t="s">
        <v>11</v>
      </c>
      <c r="K31" s="5"/>
      <c r="O31" s="29" t="s">
        <v>21</v>
      </c>
      <c r="P31" s="47">
        <f>E35</f>
        <v>0.15557541749292422</v>
      </c>
    </row>
    <row r="32" spans="2:18">
      <c r="D32" s="15" t="s">
        <v>12</v>
      </c>
      <c r="E32" s="4">
        <f>(PRODUCT(F3:F5))^(12/COUNT(F3:F5))-1</f>
        <v>-7.2999311027333036E-3</v>
      </c>
      <c r="F32" t="str">
        <f t="shared" ca="1" si="1"/>
        <v>=(PRODUCT(F3:F5))^(12/COUNT(F3:F5))-1</v>
      </c>
      <c r="I32" s="13">
        <v>44834</v>
      </c>
      <c r="J32" s="5">
        <v>3.8285999999999998</v>
      </c>
      <c r="K32" s="5"/>
      <c r="O32" s="30" t="s">
        <v>22</v>
      </c>
      <c r="P32" s="57">
        <f>E38</f>
        <v>-0.20178861336385473</v>
      </c>
    </row>
    <row r="33" spans="4:16">
      <c r="D33" s="24" t="s">
        <v>37</v>
      </c>
      <c r="E33" s="8">
        <f>MAX(E3:E19)</f>
        <v>3.0116759999999944E-2</v>
      </c>
      <c r="F33" t="str">
        <f t="shared" ca="1" si="1"/>
        <v>=MAX(E3:E19)</v>
      </c>
      <c r="I33" s="13">
        <v>44804</v>
      </c>
      <c r="J33" s="5">
        <v>3.1926000000000001</v>
      </c>
      <c r="O33" s="29"/>
      <c r="P33" s="47"/>
    </row>
    <row r="34" spans="4:16">
      <c r="D34" s="15" t="s">
        <v>44</v>
      </c>
      <c r="E34" s="8">
        <f>MIN(E4:E21)</f>
        <v>-5.1554493984269034E-2</v>
      </c>
      <c r="F34" t="str">
        <f t="shared" ca="1" si="1"/>
        <v>=MIN(E4:E21)</v>
      </c>
      <c r="I34" s="13">
        <v>44772</v>
      </c>
      <c r="J34" s="5">
        <v>2.6486999999999998</v>
      </c>
      <c r="O34" s="12"/>
      <c r="P34" s="47"/>
    </row>
    <row r="35" spans="4:16">
      <c r="D35" s="15" t="s">
        <v>17</v>
      </c>
      <c r="E35" s="4">
        <f>E29*SQRT(12)</f>
        <v>0.15557541749292422</v>
      </c>
      <c r="F35" t="str">
        <f ca="1">_xlfn.FORMULATEXT(E35)</f>
        <v>=E29*SQRT(12)</v>
      </c>
      <c r="I35" s="13">
        <v>44742</v>
      </c>
      <c r="J35" s="5">
        <v>3.0129000000000001</v>
      </c>
      <c r="O35" s="12"/>
      <c r="P35" s="20"/>
    </row>
    <row r="36" spans="4:16">
      <c r="D36" s="15" t="s">
        <v>18</v>
      </c>
      <c r="E36" s="4">
        <f>E30*SQRT(12)</f>
        <v>0.15557541749292422</v>
      </c>
      <c r="F36" t="str">
        <f t="shared" ca="1" si="1"/>
        <v>=E30*SQRT(12)</v>
      </c>
      <c r="I36" s="13">
        <v>44711</v>
      </c>
      <c r="J36" s="5">
        <v>2.8441000000000001</v>
      </c>
      <c r="K36" s="5"/>
      <c r="O36" s="12"/>
      <c r="P36" s="20"/>
    </row>
    <row r="37" spans="4:16">
      <c r="D37" s="15" t="s">
        <v>5</v>
      </c>
      <c r="E37" s="4">
        <f>I30/100</f>
        <v>2.4093416666666666E-2</v>
      </c>
      <c r="F37" t="str">
        <f t="shared" ca="1" si="1"/>
        <v>=I30/100</v>
      </c>
      <c r="I37" s="13">
        <v>44680</v>
      </c>
      <c r="J37" s="5">
        <v>2.9336000000000002</v>
      </c>
      <c r="K37" s="5"/>
      <c r="P37" s="21"/>
    </row>
    <row r="38" spans="4:16">
      <c r="D38" s="15" t="s">
        <v>3</v>
      </c>
      <c r="E38" s="26">
        <f>(E32-E37)/E35</f>
        <v>-0.20178861336385473</v>
      </c>
      <c r="F38" t="str">
        <f t="shared" ca="1" si="1"/>
        <v>=(E32-E37)/E35</v>
      </c>
      <c r="I38" s="13">
        <v>44651</v>
      </c>
      <c r="J38" s="5">
        <v>2.3433999999999999</v>
      </c>
      <c r="K38" s="5"/>
      <c r="O38" s="12"/>
      <c r="P38" s="19"/>
    </row>
    <row r="39" spans="4:16">
      <c r="D39" s="15" t="s">
        <v>19</v>
      </c>
      <c r="E39" s="4">
        <f>D5/D4-1</f>
        <v>-5.1554493984269034E-2</v>
      </c>
      <c r="F39" t="str">
        <f ca="1">_xlfn.FORMULATEXT(E39)</f>
        <v>=D5/D4-1</v>
      </c>
      <c r="I39" s="13">
        <v>44620</v>
      </c>
      <c r="J39" s="5">
        <v>1.825</v>
      </c>
      <c r="K39" s="5"/>
    </row>
    <row r="40" spans="4:16">
      <c r="D40" s="15" t="s">
        <v>14</v>
      </c>
      <c r="E40" s="7">
        <f>COUNT(E3:E21)</f>
        <v>3</v>
      </c>
      <c r="F40" t="str">
        <f ca="1">_xlfn.FORMULATEXT(E40)</f>
        <v>=COUNT(E3:E21)</v>
      </c>
      <c r="I40" s="13">
        <v>44592</v>
      </c>
      <c r="J40" s="5">
        <v>1.7766999999999999</v>
      </c>
      <c r="K40" s="5"/>
    </row>
    <row r="41" spans="4:16">
      <c r="D41" s="52" t="s">
        <v>46</v>
      </c>
      <c r="E41" s="51">
        <f>COUNTIF(E3:E21,"&gt;0")/E40</f>
        <v>0.66666666666666663</v>
      </c>
      <c r="F41" t="str">
        <f ca="1">_xlfn.FORMULATEXT(E41)</f>
        <v>=COUNTIF(E3:E21,"&gt;0")/E40</v>
      </c>
      <c r="I41" s="13">
        <v>44561</v>
      </c>
      <c r="J41" s="5">
        <v>1.5101</v>
      </c>
      <c r="K41" s="5"/>
    </row>
    <row r="42" spans="4:16" ht="16.8" thickBot="1">
      <c r="D42" s="16" t="s">
        <v>16</v>
      </c>
      <c r="E42" s="53">
        <f>COUNTIF(E3:E21,"&lt;0")/E40</f>
        <v>0.33333333333333331</v>
      </c>
      <c r="F42" t="str">
        <f ca="1">_xlfn.FORMULATEXT(E42)</f>
        <v>=COUNTIF(E3:E21,"&lt;0")/E40</v>
      </c>
      <c r="I42" s="13">
        <v>44530</v>
      </c>
      <c r="J42" s="5">
        <v>1.4442999999999999</v>
      </c>
      <c r="K42" s="5"/>
    </row>
    <row r="43" spans="4:16">
      <c r="I43" s="13">
        <v>44498</v>
      </c>
      <c r="J43" s="5">
        <v>1.5521</v>
      </c>
      <c r="K43" s="5"/>
    </row>
    <row r="44" spans="4:16">
      <c r="I44" s="13" t="s">
        <v>24</v>
      </c>
      <c r="J44" s="5">
        <v>1.4873000000000001</v>
      </c>
      <c r="K44" s="5"/>
    </row>
    <row r="45" spans="4:16">
      <c r="I45" s="13">
        <v>44439</v>
      </c>
      <c r="J45" s="5">
        <v>1.3088</v>
      </c>
      <c r="K45" s="5"/>
    </row>
    <row r="46" spans="4:16">
      <c r="I46" s="13">
        <v>44408</v>
      </c>
      <c r="J46" s="5">
        <v>1.2222999999999999</v>
      </c>
      <c r="K46" s="5"/>
    </row>
    <row r="47" spans="4:16">
      <c r="I47" s="13">
        <v>44377</v>
      </c>
      <c r="J47" s="5">
        <v>1.468</v>
      </c>
      <c r="K47" s="5"/>
    </row>
    <row r="48" spans="4:16">
      <c r="I48" s="13">
        <v>44347</v>
      </c>
      <c r="J48" s="5">
        <v>1.5943000000000001</v>
      </c>
    </row>
    <row r="49" spans="9:10">
      <c r="I49" s="13">
        <v>44316</v>
      </c>
      <c r="J49" s="5">
        <v>1.6259000000000001</v>
      </c>
    </row>
    <row r="50" spans="9:10">
      <c r="I50" s="13">
        <v>44286</v>
      </c>
      <c r="J50" s="5">
        <v>1.7403999999999999</v>
      </c>
    </row>
    <row r="51" spans="9:10">
      <c r="I51" s="13">
        <v>44253</v>
      </c>
      <c r="J51" s="5">
        <v>1.4049</v>
      </c>
    </row>
    <row r="52" spans="9:10">
      <c r="I52" s="13">
        <v>44225</v>
      </c>
      <c r="J52" s="5">
        <v>1.0655000000000001</v>
      </c>
    </row>
    <row r="53" spans="9:10">
      <c r="I53" s="13">
        <v>44196</v>
      </c>
      <c r="J53" s="5">
        <v>0.91320000000000001</v>
      </c>
    </row>
    <row r="54" spans="9:10">
      <c r="I54" s="13">
        <v>44165</v>
      </c>
      <c r="J54" s="5">
        <v>0.83889999999999998</v>
      </c>
    </row>
    <row r="55" spans="9:10">
      <c r="I55" s="13">
        <v>44134</v>
      </c>
      <c r="J55" s="5">
        <v>0.87370000000000003</v>
      </c>
    </row>
    <row r="56" spans="9:10">
      <c r="I56" s="13">
        <v>44104</v>
      </c>
      <c r="J56" s="5">
        <v>0.68400000000000005</v>
      </c>
    </row>
    <row r="57" spans="9:10">
      <c r="I57" s="13">
        <v>44074</v>
      </c>
      <c r="J57" s="5">
        <v>0.70479999999999998</v>
      </c>
    </row>
    <row r="58" spans="9:10">
      <c r="I58" s="13">
        <v>44043</v>
      </c>
      <c r="J58" s="5">
        <v>0.5282</v>
      </c>
    </row>
    <row r="59" spans="9:10">
      <c r="I59" s="13">
        <v>44012</v>
      </c>
      <c r="J59" s="5">
        <v>0.65610000000000002</v>
      </c>
    </row>
  </sheetData>
  <mergeCells count="1">
    <mergeCell ref="D23:E24"/>
  </mergeCells>
  <phoneticPr fontId="30" type="noConversion"/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8B997-60A8-4F07-9A48-F4AC645B13D7}">
  <dimension ref="B1:AF102"/>
  <sheetViews>
    <sheetView topLeftCell="B1" zoomScaleNormal="100" workbookViewId="0">
      <selection activeCell="D2" sqref="C2:D2"/>
    </sheetView>
  </sheetViews>
  <sheetFormatPr defaultRowHeight="16.2"/>
  <cols>
    <col min="1" max="1" width="31.5546875" customWidth="1"/>
    <col min="2" max="2" width="16.21875" customWidth="1"/>
    <col min="3" max="3" width="17" customWidth="1"/>
    <col min="4" max="4" width="28" customWidth="1"/>
    <col min="5" max="5" width="21.44140625" customWidth="1"/>
    <col min="6" max="6" width="20.44140625" customWidth="1"/>
    <col min="7" max="7" width="23.6640625" customWidth="1"/>
    <col min="9" max="9" width="11.5546875" customWidth="1"/>
    <col min="15" max="15" width="27.21875" customWidth="1"/>
    <col min="16" max="16" width="9.5546875" bestFit="1" customWidth="1"/>
    <col min="18" max="18" width="27.109375" customWidth="1"/>
    <col min="19" max="19" width="9.44140625" bestFit="1" customWidth="1"/>
  </cols>
  <sheetData>
    <row r="1" spans="3:32">
      <c r="D1" t="s">
        <v>0</v>
      </c>
      <c r="E1" s="41" t="s">
        <v>38</v>
      </c>
    </row>
    <row r="2" spans="3:32">
      <c r="C2" t="s">
        <v>25</v>
      </c>
      <c r="D2">
        <v>100</v>
      </c>
      <c r="E2" s="1"/>
    </row>
    <row r="3" spans="3:32">
      <c r="C3" s="3">
        <v>44805</v>
      </c>
      <c r="D3" s="2">
        <v>99.816999999999993</v>
      </c>
      <c r="E3" s="1">
        <f>(D3-100)/100</f>
        <v>-1.8300000000000694E-3</v>
      </c>
      <c r="F3" s="22">
        <f>E3+1</f>
        <v>0.99816999999999989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3:32">
      <c r="C4" s="3">
        <v>44925</v>
      </c>
      <c r="D4" s="2">
        <v>95.546999999999997</v>
      </c>
      <c r="E4" s="1">
        <f>D4/D3-1</f>
        <v>-4.2778284260196142E-2</v>
      </c>
      <c r="F4" s="22">
        <f>E4+1</f>
        <v>0.95722171573980386</v>
      </c>
    </row>
    <row r="5" spans="3:32">
      <c r="C5" s="3">
        <v>45016</v>
      </c>
      <c r="D5" s="2">
        <f>671320/8000</f>
        <v>83.915000000000006</v>
      </c>
      <c r="E5" s="1">
        <f>D5/D4-1</f>
        <v>-0.12174113263629405</v>
      </c>
      <c r="F5" s="22">
        <f>E5+1</f>
        <v>0.87825886736370595</v>
      </c>
    </row>
    <row r="6" spans="3:32">
      <c r="C6" s="3"/>
      <c r="D6" s="2"/>
      <c r="E6" s="1"/>
      <c r="F6" s="22"/>
    </row>
    <row r="7" spans="3:32">
      <c r="C7" s="3"/>
      <c r="D7" s="2"/>
      <c r="E7" s="27"/>
      <c r="F7" s="22"/>
    </row>
    <row r="8" spans="3:32">
      <c r="C8" s="3"/>
      <c r="D8" s="2"/>
      <c r="E8" s="27"/>
      <c r="F8" s="22"/>
    </row>
    <row r="9" spans="3:32">
      <c r="C9" s="3"/>
      <c r="D9" s="2"/>
      <c r="E9" s="27"/>
      <c r="F9" s="22"/>
    </row>
    <row r="10" spans="3:32">
      <c r="C10" s="3"/>
      <c r="D10" s="2"/>
      <c r="E10" s="27"/>
      <c r="F10" s="22"/>
    </row>
    <row r="11" spans="3:32">
      <c r="C11" s="3"/>
      <c r="D11" s="2"/>
      <c r="E11" s="27"/>
      <c r="F11" s="22"/>
    </row>
    <row r="12" spans="3:32">
      <c r="C12" s="3"/>
      <c r="D12" s="2"/>
      <c r="E12" s="27"/>
      <c r="F12" s="22"/>
    </row>
    <row r="13" spans="3:32">
      <c r="C13" s="3"/>
      <c r="D13" s="2"/>
      <c r="E13" s="27"/>
      <c r="F13" s="22"/>
      <c r="G13" s="18"/>
    </row>
    <row r="14" spans="3:32">
      <c r="C14" s="3"/>
      <c r="D14" s="2"/>
      <c r="E14" s="27"/>
      <c r="F14" s="22"/>
      <c r="G14" s="18"/>
    </row>
    <row r="15" spans="3:32">
      <c r="C15" s="3"/>
      <c r="D15" s="2"/>
      <c r="E15" s="27"/>
      <c r="F15" s="22"/>
    </row>
    <row r="16" spans="3:32">
      <c r="C16" s="3"/>
      <c r="D16" s="2"/>
      <c r="E16" s="27"/>
      <c r="F16" s="22"/>
    </row>
    <row r="17" spans="2:18">
      <c r="C17" s="3"/>
      <c r="D17" s="2"/>
      <c r="E17" s="27"/>
      <c r="F17" s="22"/>
    </row>
    <row r="18" spans="2:18" ht="16.8" thickBot="1">
      <c r="C18" s="3"/>
      <c r="E18" s="27"/>
    </row>
    <row r="19" spans="2:18">
      <c r="D19" s="82" t="s">
        <v>4</v>
      </c>
      <c r="E19" s="83"/>
    </row>
    <row r="20" spans="2:18">
      <c r="D20" s="84"/>
      <c r="E20" s="85"/>
      <c r="G20" s="1"/>
    </row>
    <row r="21" spans="2:18">
      <c r="D21" s="14" t="s">
        <v>6</v>
      </c>
      <c r="E21" s="23">
        <v>44749</v>
      </c>
    </row>
    <row r="22" spans="2:18">
      <c r="D22" s="14" t="s">
        <v>7</v>
      </c>
      <c r="E22" s="23">
        <v>45016</v>
      </c>
    </row>
    <row r="23" spans="2:18">
      <c r="D23" s="15" t="s">
        <v>1</v>
      </c>
      <c r="E23" s="4">
        <f>(D5-100)/100</f>
        <v>-0.16084999999999994</v>
      </c>
      <c r="F23" t="str">
        <f ca="1">_xlfn.FORMULATEXT(E23)</f>
        <v>=(D5-100)/100</v>
      </c>
      <c r="O23" s="12"/>
      <c r="P23" s="19"/>
      <c r="R23" s="29"/>
    </row>
    <row r="24" spans="2:18">
      <c r="D24" s="15" t="s">
        <v>2</v>
      </c>
      <c r="E24" s="4">
        <f>(D5-D4)/D4</f>
        <v>-0.12174113263629409</v>
      </c>
      <c r="F24" t="str">
        <f t="shared" ref="F24:F40" ca="1" si="0">_xlfn.FORMULATEXT(E24)</f>
        <v>=(D5-D4)/D4</v>
      </c>
      <c r="O24" s="12"/>
      <c r="P24" s="19"/>
    </row>
    <row r="25" spans="2:18">
      <c r="D25" s="15" t="s">
        <v>27</v>
      </c>
      <c r="E25" s="4">
        <f>STDEVA(E3:E5)</f>
        <v>6.0951583432589274E-2</v>
      </c>
      <c r="F25" t="str">
        <f t="shared" ca="1" si="0"/>
        <v>=STDEVA(E3:E5)</v>
      </c>
      <c r="I25" t="s">
        <v>9</v>
      </c>
      <c r="O25" s="30" t="s">
        <v>32</v>
      </c>
      <c r="P25" s="42">
        <f>E23</f>
        <v>-0.16084999999999994</v>
      </c>
    </row>
    <row r="26" spans="2:18">
      <c r="D26" s="15" t="s">
        <v>28</v>
      </c>
      <c r="E26" s="4">
        <f>STDEVA(E3:E5)</f>
        <v>6.0951583432589274E-2</v>
      </c>
      <c r="F26" t="str">
        <f t="shared" ca="1" si="0"/>
        <v>=STDEVA(E3:E5)</v>
      </c>
      <c r="I26">
        <f>AVERAGE(J28:J39)</f>
        <v>2.9944666666666673</v>
      </c>
      <c r="O26" s="29" t="s">
        <v>33</v>
      </c>
      <c r="P26" s="42">
        <f>E24</f>
        <v>-0.12174113263629409</v>
      </c>
    </row>
    <row r="27" spans="2:18">
      <c r="B27" s="6"/>
      <c r="D27" s="15" t="s">
        <v>13</v>
      </c>
      <c r="E27" s="7">
        <f>E22-E21</f>
        <v>267</v>
      </c>
      <c r="F27" t="str">
        <f ca="1">_xlfn.FORMULATEXT(E27)</f>
        <v>=E22-E21</v>
      </c>
      <c r="I27" s="5" t="s">
        <v>10</v>
      </c>
      <c r="J27" s="5" t="s">
        <v>11</v>
      </c>
      <c r="K27" s="5"/>
      <c r="O27" s="30" t="s">
        <v>20</v>
      </c>
      <c r="P27" s="42">
        <f>E28</f>
        <v>-0.20849657488941398</v>
      </c>
    </row>
    <row r="28" spans="2:18">
      <c r="D28" s="15" t="s">
        <v>12</v>
      </c>
      <c r="E28" s="4">
        <f>(PRODUCT(F3:F5))^(4/COUNT(F3:F5))-1</f>
        <v>-0.20849657488941398</v>
      </c>
      <c r="F28" t="str">
        <f t="shared" ca="1" si="0"/>
        <v>=(PRODUCT(F3:F5))^(4/COUNT(F3:F5))-1</v>
      </c>
      <c r="I28" s="13">
        <v>44925</v>
      </c>
      <c r="J28" s="5">
        <v>3.8748</v>
      </c>
      <c r="K28" s="5"/>
      <c r="O28" s="29" t="s">
        <v>34</v>
      </c>
      <c r="P28" s="43">
        <f>E39</f>
        <v>0</v>
      </c>
    </row>
    <row r="29" spans="2:18">
      <c r="D29" s="24" t="s">
        <v>26</v>
      </c>
      <c r="E29" s="8">
        <f>MAX(E2:E15)</f>
        <v>-1.8300000000000694E-3</v>
      </c>
      <c r="F29" t="str">
        <f t="shared" ca="1" si="0"/>
        <v>=MAX(E2:E15)</v>
      </c>
      <c r="I29" s="13">
        <v>44895</v>
      </c>
      <c r="J29" s="5">
        <v>3.6053999999999999</v>
      </c>
      <c r="O29" s="30" t="s">
        <v>29</v>
      </c>
      <c r="P29" s="43">
        <f>E40</f>
        <v>1</v>
      </c>
    </row>
    <row r="30" spans="2:18">
      <c r="D30" s="39" t="s">
        <v>40</v>
      </c>
      <c r="E30" s="8">
        <f>MIN(E3:E17)</f>
        <v>-0.12174113263629405</v>
      </c>
      <c r="F30" t="str">
        <f t="shared" ca="1" si="0"/>
        <v>=MIN(E3:E17)</v>
      </c>
      <c r="I30" s="25">
        <v>44865</v>
      </c>
      <c r="J30" s="5">
        <v>4.0477999999999996</v>
      </c>
      <c r="O30" s="29" t="s">
        <v>21</v>
      </c>
      <c r="P30" s="42">
        <f>E31</f>
        <v>0.12190316686517855</v>
      </c>
    </row>
    <row r="31" spans="2:18">
      <c r="D31" s="15" t="s">
        <v>17</v>
      </c>
      <c r="E31" s="4">
        <f>E25*SQRT(4)</f>
        <v>0.12190316686517855</v>
      </c>
      <c r="F31" t="str">
        <f ca="1">_xlfn.FORMULATEXT(E31)</f>
        <v>=E25*SQRT(4)</v>
      </c>
      <c r="I31" s="13">
        <v>44834</v>
      </c>
      <c r="J31" s="5">
        <v>3.8285999999999998</v>
      </c>
      <c r="O31" s="30" t="s">
        <v>22</v>
      </c>
      <c r="P31" s="44">
        <f>E34</f>
        <v>-1.9559889024030845</v>
      </c>
    </row>
    <row r="32" spans="2:18">
      <c r="D32" s="15" t="s">
        <v>18</v>
      </c>
      <c r="E32" s="4">
        <f>E26*SQRT(4)</f>
        <v>0.12190316686517855</v>
      </c>
      <c r="F32" t="str">
        <f t="shared" ca="1" si="0"/>
        <v>=E26*SQRT(4)</v>
      </c>
      <c r="I32" s="13">
        <v>44804</v>
      </c>
      <c r="J32" s="5">
        <v>3.1926000000000001</v>
      </c>
      <c r="K32" s="5"/>
      <c r="O32" s="29" t="s">
        <v>23</v>
      </c>
      <c r="P32" s="45">
        <f>E37</f>
        <v>-4.453000000000007E-2</v>
      </c>
    </row>
    <row r="33" spans="4:16">
      <c r="D33" s="15" t="s">
        <v>5</v>
      </c>
      <c r="E33" s="4">
        <f>I26/100</f>
        <v>2.9944666666666672E-2</v>
      </c>
      <c r="F33" t="str">
        <f ca="1">_xlfn.FORMULATEXT(E33)</f>
        <v>=I26/100</v>
      </c>
      <c r="I33" s="13">
        <v>44772</v>
      </c>
      <c r="J33" s="5">
        <v>2.6486999999999998</v>
      </c>
      <c r="K33" s="5"/>
      <c r="P33" s="21"/>
    </row>
    <row r="34" spans="4:16">
      <c r="D34" s="15" t="s">
        <v>3</v>
      </c>
      <c r="E34" s="26">
        <f>(E28-E33)/E31</f>
        <v>-1.9559889024030845</v>
      </c>
      <c r="F34" t="str">
        <f t="shared" ca="1" si="0"/>
        <v>=(E28-E33)/E31</v>
      </c>
      <c r="I34" s="13">
        <v>44742</v>
      </c>
      <c r="J34" s="5">
        <v>3.0129000000000001</v>
      </c>
      <c r="K34" s="5"/>
      <c r="O34" s="12"/>
      <c r="P34" s="19"/>
    </row>
    <row r="35" spans="4:16">
      <c r="D35" s="15"/>
      <c r="E35" s="4"/>
      <c r="I35" s="13">
        <v>44711</v>
      </c>
      <c r="J35" s="5">
        <v>2.8441000000000001</v>
      </c>
      <c r="K35" s="5"/>
    </row>
    <row r="36" spans="4:16" ht="16.8" thickBot="1">
      <c r="D36" s="16"/>
      <c r="E36" s="11"/>
      <c r="I36" s="13">
        <v>44680</v>
      </c>
      <c r="J36" s="5">
        <v>2.9336000000000002</v>
      </c>
      <c r="K36" s="5"/>
    </row>
    <row r="37" spans="4:16">
      <c r="D37" t="s">
        <v>19</v>
      </c>
      <c r="E37" s="10">
        <f>D4/D2-1</f>
        <v>-4.453000000000007E-2</v>
      </c>
      <c r="F37" t="str">
        <f t="shared" ca="1" si="0"/>
        <v>=D4/D2-1</v>
      </c>
      <c r="I37" s="13">
        <v>44651</v>
      </c>
      <c r="J37" s="5">
        <v>2.3433999999999999</v>
      </c>
      <c r="K37" s="5"/>
    </row>
    <row r="38" spans="4:16">
      <c r="D38" t="s">
        <v>14</v>
      </c>
      <c r="E38" s="9">
        <f>COUNT(E3:E17)</f>
        <v>3</v>
      </c>
      <c r="F38" t="str">
        <f ca="1">_xlfn.FORMULATEXT(E38)</f>
        <v>=COUNT(E3:E17)</v>
      </c>
      <c r="I38" s="13">
        <v>44620</v>
      </c>
      <c r="J38" s="5">
        <v>1.825</v>
      </c>
      <c r="K38" s="5"/>
    </row>
    <row r="39" spans="4:16">
      <c r="D39" t="s">
        <v>15</v>
      </c>
      <c r="E39" s="17">
        <f>COUNTIF(E3:E17,"&gt;0")/E38</f>
        <v>0</v>
      </c>
      <c r="F39" t="str">
        <f t="shared" ca="1" si="0"/>
        <v>=COUNTIF(E3:E17,"&gt;0")/E38</v>
      </c>
      <c r="I39" s="13">
        <v>44592</v>
      </c>
      <c r="J39" s="5">
        <v>1.7766999999999999</v>
      </c>
      <c r="K39" s="5"/>
    </row>
    <row r="40" spans="4:16">
      <c r="D40" t="s">
        <v>16</v>
      </c>
      <c r="E40" s="17">
        <f>COUNTIF(E3:E17,"&lt;0")/E38</f>
        <v>1</v>
      </c>
      <c r="F40" t="str">
        <f t="shared" ca="1" si="0"/>
        <v>=COUNTIF(E3:E17,"&lt;0")/E38</v>
      </c>
      <c r="I40" s="13">
        <v>44561</v>
      </c>
      <c r="J40" s="5">
        <v>1.5101</v>
      </c>
      <c r="K40" s="5"/>
    </row>
    <row r="41" spans="4:16">
      <c r="I41" s="13">
        <v>44530</v>
      </c>
      <c r="J41" s="5">
        <v>1.4442999999999999</v>
      </c>
      <c r="K41" s="5"/>
    </row>
    <row r="42" spans="4:16">
      <c r="I42" s="13">
        <v>44498</v>
      </c>
      <c r="J42" s="5">
        <v>1.5521</v>
      </c>
      <c r="K42" s="5"/>
    </row>
    <row r="43" spans="4:16">
      <c r="I43" s="13" t="s">
        <v>24</v>
      </c>
      <c r="J43" s="5">
        <v>1.4873000000000001</v>
      </c>
      <c r="K43" s="5"/>
    </row>
    <row r="44" spans="4:16">
      <c r="I44" s="13">
        <v>44439</v>
      </c>
      <c r="J44" s="5">
        <v>1.3088</v>
      </c>
    </row>
    <row r="45" spans="4:16">
      <c r="I45" s="13">
        <v>44408</v>
      </c>
      <c r="J45" s="5">
        <v>1.2222999999999999</v>
      </c>
    </row>
    <row r="46" spans="4:16">
      <c r="I46" s="13">
        <v>44377</v>
      </c>
      <c r="J46" s="5">
        <v>1.468</v>
      </c>
    </row>
    <row r="47" spans="4:16">
      <c r="I47" s="13">
        <v>44347</v>
      </c>
      <c r="J47" s="5">
        <v>1.5943000000000001</v>
      </c>
    </row>
    <row r="48" spans="4:16">
      <c r="I48" s="13">
        <v>44316</v>
      </c>
      <c r="J48" s="5">
        <v>1.6259000000000001</v>
      </c>
    </row>
    <row r="49" spans="9:10">
      <c r="I49" s="13">
        <v>44286</v>
      </c>
      <c r="J49" s="5">
        <v>1.7403999999999999</v>
      </c>
    </row>
    <row r="50" spans="9:10">
      <c r="I50" s="13">
        <v>44253</v>
      </c>
      <c r="J50" s="5">
        <v>1.4049</v>
      </c>
    </row>
    <row r="51" spans="9:10">
      <c r="I51" s="13">
        <v>44225</v>
      </c>
      <c r="J51" s="5">
        <v>1.0655000000000001</v>
      </c>
    </row>
    <row r="52" spans="9:10">
      <c r="I52" s="13">
        <v>44196</v>
      </c>
      <c r="J52" s="5">
        <v>0.91320000000000001</v>
      </c>
    </row>
    <row r="53" spans="9:10">
      <c r="I53" s="13">
        <v>44165</v>
      </c>
      <c r="J53" s="5">
        <v>0.83889999999999998</v>
      </c>
    </row>
    <row r="54" spans="9:10">
      <c r="I54" s="13">
        <v>44134</v>
      </c>
      <c r="J54" s="5">
        <v>0.87370000000000003</v>
      </c>
    </row>
    <row r="55" spans="9:10">
      <c r="I55" s="13">
        <v>44104</v>
      </c>
      <c r="J55" s="5">
        <v>0.68400000000000005</v>
      </c>
    </row>
    <row r="56" spans="9:10">
      <c r="I56" s="13">
        <v>44074</v>
      </c>
      <c r="J56" s="5">
        <v>0.70479999999999998</v>
      </c>
    </row>
    <row r="57" spans="9:10">
      <c r="I57" s="13">
        <v>44043</v>
      </c>
      <c r="J57" s="5">
        <v>0.5282</v>
      </c>
    </row>
    <row r="58" spans="9:10">
      <c r="I58" s="13">
        <v>44012</v>
      </c>
      <c r="J58" s="5">
        <v>0.65610000000000002</v>
      </c>
    </row>
    <row r="80" spans="13:24">
      <c r="M80" t="s">
        <v>41</v>
      </c>
      <c r="N80" t="s">
        <v>41</v>
      </c>
      <c r="O80" t="s">
        <v>41</v>
      </c>
      <c r="P80" t="s">
        <v>41</v>
      </c>
      <c r="Q80" t="s">
        <v>41</v>
      </c>
      <c r="R80" t="s">
        <v>41</v>
      </c>
      <c r="S80" t="s">
        <v>41</v>
      </c>
      <c r="T80" t="s">
        <v>41</v>
      </c>
      <c r="U80" t="s">
        <v>41</v>
      </c>
      <c r="V80" t="s">
        <v>41</v>
      </c>
      <c r="W80" t="s">
        <v>41</v>
      </c>
      <c r="X80" t="s">
        <v>41</v>
      </c>
    </row>
    <row r="102" spans="17:17">
      <c r="Q102" t="s">
        <v>41</v>
      </c>
    </row>
  </sheetData>
  <mergeCells count="1">
    <mergeCell ref="D19:E20"/>
  </mergeCells>
  <phoneticPr fontId="30" type="noConversion"/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F58"/>
  <sheetViews>
    <sheetView topLeftCell="A16" zoomScale="85" zoomScaleNormal="85" workbookViewId="0">
      <selection activeCell="L43" sqref="L43"/>
    </sheetView>
  </sheetViews>
  <sheetFormatPr defaultRowHeight="16.2"/>
  <cols>
    <col min="1" max="1" width="31.5546875" customWidth="1"/>
    <col min="2" max="2" width="16.21875" customWidth="1"/>
    <col min="3" max="3" width="17" customWidth="1"/>
    <col min="4" max="4" width="28" customWidth="1"/>
    <col min="5" max="5" width="21.44140625" customWidth="1"/>
    <col min="6" max="6" width="20.44140625" customWidth="1"/>
    <col min="7" max="7" width="23.6640625" customWidth="1"/>
    <col min="9" max="9" width="11.5546875" customWidth="1"/>
    <col min="15" max="15" width="27.21875" customWidth="1"/>
    <col min="18" max="18" width="27.109375" customWidth="1"/>
    <col min="19" max="19" width="9.44140625" bestFit="1" customWidth="1"/>
  </cols>
  <sheetData>
    <row r="1" spans="3:32">
      <c r="D1" t="s">
        <v>0</v>
      </c>
      <c r="E1" s="41" t="s">
        <v>38</v>
      </c>
    </row>
    <row r="2" spans="3:32">
      <c r="C2" t="s">
        <v>25</v>
      </c>
      <c r="D2">
        <v>100</v>
      </c>
      <c r="E2" s="1">
        <v>0</v>
      </c>
    </row>
    <row r="3" spans="3:32">
      <c r="C3" s="3">
        <v>44805</v>
      </c>
      <c r="D3" s="2">
        <v>99.816999999999993</v>
      </c>
      <c r="E3" s="1">
        <f>(D3-100)/100</f>
        <v>-1.8300000000000694E-3</v>
      </c>
      <c r="F3" s="22">
        <f>E3+1</f>
        <v>0.99816999999999989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3:32">
      <c r="C4" s="3">
        <v>44925</v>
      </c>
      <c r="D4" s="2">
        <v>95.546999999999997</v>
      </c>
      <c r="E4" s="1">
        <f>D4/D3-1</f>
        <v>-4.2778284260196142E-2</v>
      </c>
      <c r="F4" s="22">
        <f>E4+1</f>
        <v>0.95722171573980386</v>
      </c>
    </row>
    <row r="5" spans="3:32">
      <c r="C5" s="3"/>
      <c r="D5" s="2"/>
      <c r="E5" s="1"/>
      <c r="F5" s="22"/>
    </row>
    <row r="6" spans="3:32">
      <c r="C6" s="3"/>
      <c r="D6" s="2"/>
      <c r="E6" s="1"/>
      <c r="F6" s="22"/>
    </row>
    <row r="7" spans="3:32">
      <c r="C7" s="3"/>
      <c r="D7" s="2"/>
      <c r="E7" s="27"/>
      <c r="F7" s="22"/>
    </row>
    <row r="8" spans="3:32">
      <c r="C8" s="3"/>
      <c r="D8" s="2"/>
      <c r="E8" s="27"/>
      <c r="F8" s="22"/>
    </row>
    <row r="9" spans="3:32">
      <c r="C9" s="3"/>
      <c r="D9" s="2"/>
      <c r="E9" s="27"/>
      <c r="F9" s="22"/>
    </row>
    <row r="10" spans="3:32">
      <c r="C10" s="3"/>
      <c r="D10" s="2"/>
      <c r="E10" s="27"/>
      <c r="F10" s="22"/>
    </row>
    <row r="11" spans="3:32">
      <c r="C11" s="3"/>
      <c r="D11" s="2"/>
      <c r="E11" s="27"/>
      <c r="F11" s="22"/>
    </row>
    <row r="12" spans="3:32">
      <c r="C12" s="3"/>
      <c r="D12" s="2"/>
      <c r="E12" s="27"/>
      <c r="F12" s="22"/>
    </row>
    <row r="13" spans="3:32">
      <c r="C13" s="3"/>
      <c r="D13" s="2"/>
      <c r="E13" s="27"/>
      <c r="F13" s="22"/>
      <c r="G13" s="18"/>
    </row>
    <row r="14" spans="3:32">
      <c r="C14" s="3"/>
      <c r="D14" s="2"/>
      <c r="E14" s="27"/>
      <c r="F14" s="22"/>
      <c r="G14" s="18"/>
    </row>
    <row r="15" spans="3:32">
      <c r="C15" s="3"/>
      <c r="D15" s="2"/>
      <c r="E15" s="27"/>
      <c r="F15" s="22"/>
    </row>
    <row r="16" spans="3:32">
      <c r="C16" s="3"/>
      <c r="D16" s="2"/>
      <c r="E16" s="27"/>
      <c r="F16" s="22"/>
    </row>
    <row r="17" spans="2:18">
      <c r="C17" s="3"/>
      <c r="D17" s="2"/>
      <c r="E17" s="27"/>
      <c r="F17" s="22"/>
    </row>
    <row r="18" spans="2:18" ht="16.8" thickBot="1">
      <c r="C18" s="3"/>
      <c r="E18" s="27"/>
    </row>
    <row r="19" spans="2:18">
      <c r="D19" s="82" t="s">
        <v>4</v>
      </c>
      <c r="E19" s="83"/>
    </row>
    <row r="20" spans="2:18">
      <c r="D20" s="84"/>
      <c r="E20" s="85"/>
      <c r="G20" s="1"/>
    </row>
    <row r="21" spans="2:18">
      <c r="D21" s="14" t="s">
        <v>6</v>
      </c>
      <c r="E21" s="23">
        <v>44749</v>
      </c>
    </row>
    <row r="22" spans="2:18">
      <c r="D22" s="14" t="s">
        <v>7</v>
      </c>
      <c r="E22" s="23">
        <v>44925</v>
      </c>
    </row>
    <row r="23" spans="2:18">
      <c r="D23" s="15" t="s">
        <v>1</v>
      </c>
      <c r="E23" s="4">
        <f>(D4-100)/100</f>
        <v>-4.4530000000000028E-2</v>
      </c>
      <c r="F23" t="str">
        <f ca="1">_xlfn.FORMULATEXT(E23)</f>
        <v>=(D4-100)/100</v>
      </c>
      <c r="O23" s="12"/>
      <c r="P23" s="19"/>
      <c r="R23" s="29"/>
    </row>
    <row r="24" spans="2:18">
      <c r="D24" s="15" t="s">
        <v>2</v>
      </c>
      <c r="E24" s="4">
        <f>(D4-D2)/D2</f>
        <v>-4.4530000000000028E-2</v>
      </c>
      <c r="F24" t="str">
        <f t="shared" ref="F24:F40" ca="1" si="0">_xlfn.FORMULATEXT(E24)</f>
        <v>=(D4-D2)/D2</v>
      </c>
      <c r="O24" s="12"/>
      <c r="P24" s="19"/>
    </row>
    <row r="25" spans="2:18">
      <c r="D25" s="15" t="s">
        <v>27</v>
      </c>
      <c r="E25" s="4">
        <f>STDEVA(E3:E4)</f>
        <v>2.8954809478339012E-2</v>
      </c>
      <c r="F25" t="str">
        <f t="shared" ca="1" si="0"/>
        <v>=STDEVA(E3:E4)</v>
      </c>
      <c r="I25" t="s">
        <v>9</v>
      </c>
      <c r="O25" s="30" t="s">
        <v>32</v>
      </c>
      <c r="P25" s="31">
        <f>E23</f>
        <v>-4.4530000000000028E-2</v>
      </c>
    </row>
    <row r="26" spans="2:18" ht="17.399999999999999">
      <c r="D26" s="15" t="s">
        <v>28</v>
      </c>
      <c r="E26" s="4">
        <f>STDEVA(E3:E4)</f>
        <v>2.8954809478339012E-2</v>
      </c>
      <c r="F26" t="str">
        <f t="shared" ca="1" si="0"/>
        <v>=STDEVA(E3:E4)</v>
      </c>
      <c r="I26">
        <f>AVERAGE(J28:J39)</f>
        <v>2.9944666666666673</v>
      </c>
      <c r="O26" s="29" t="s">
        <v>33</v>
      </c>
      <c r="P26" s="32">
        <f>E24</f>
        <v>-4.4530000000000028E-2</v>
      </c>
    </row>
    <row r="27" spans="2:18">
      <c r="B27" s="6"/>
      <c r="D27" s="15" t="s">
        <v>13</v>
      </c>
      <c r="E27" s="7">
        <f>E22-E21</f>
        <v>176</v>
      </c>
      <c r="F27" t="str">
        <f ca="1">_xlfn.FORMULATEXT(E27)</f>
        <v>=E22-E21</v>
      </c>
      <c r="I27" s="5" t="s">
        <v>10</v>
      </c>
      <c r="J27" s="5" t="s">
        <v>11</v>
      </c>
      <c r="K27" s="5"/>
      <c r="O27" s="30" t="s">
        <v>20</v>
      </c>
      <c r="P27" s="31">
        <f>E28</f>
        <v>-8.7077079100000176E-2</v>
      </c>
    </row>
    <row r="28" spans="2:18">
      <c r="D28" s="15" t="s">
        <v>12</v>
      </c>
      <c r="E28" s="4">
        <f>(PRODUCT(F3:F4))^(4/COUNT(F3:F4))-1</f>
        <v>-8.7077079100000176E-2</v>
      </c>
      <c r="F28" t="str">
        <f t="shared" ca="1" si="0"/>
        <v>=(PRODUCT(F3:F4))^(4/COUNT(F3:F4))-1</v>
      </c>
      <c r="I28" s="13">
        <v>44925</v>
      </c>
      <c r="J28" s="5">
        <v>3.8748</v>
      </c>
      <c r="K28" s="5"/>
      <c r="O28" s="29" t="s">
        <v>34</v>
      </c>
      <c r="P28" s="33">
        <f>E39</f>
        <v>0</v>
      </c>
    </row>
    <row r="29" spans="2:18">
      <c r="D29" s="24" t="s">
        <v>26</v>
      </c>
      <c r="E29" s="8">
        <f>MAX(E2:E15)</f>
        <v>0</v>
      </c>
      <c r="F29" t="str">
        <f t="shared" ca="1" si="0"/>
        <v>=MAX(E2:E15)</v>
      </c>
      <c r="I29" s="13">
        <v>44895</v>
      </c>
      <c r="J29" s="5">
        <v>3.6053999999999999</v>
      </c>
      <c r="O29" s="30" t="s">
        <v>29</v>
      </c>
      <c r="P29" s="33">
        <f>E40</f>
        <v>1</v>
      </c>
    </row>
    <row r="30" spans="2:18">
      <c r="D30" s="39" t="s">
        <v>40</v>
      </c>
      <c r="E30" s="8">
        <f>MIN(E3:E17)</f>
        <v>-4.2778284260196142E-2</v>
      </c>
      <c r="F30" t="str">
        <f t="shared" ca="1" si="0"/>
        <v>=MIN(E3:E17)</v>
      </c>
      <c r="I30" s="25">
        <v>44865</v>
      </c>
      <c r="J30" s="5">
        <v>4.0477999999999996</v>
      </c>
      <c r="O30" s="29" t="s">
        <v>21</v>
      </c>
      <c r="P30" s="31">
        <f>E31</f>
        <v>5.7909618956678025E-2</v>
      </c>
    </row>
    <row r="31" spans="2:18">
      <c r="D31" s="15" t="s">
        <v>17</v>
      </c>
      <c r="E31" s="4">
        <f>E25*SQRT(4)</f>
        <v>5.7909618956678025E-2</v>
      </c>
      <c r="F31" t="str">
        <f ca="1">_xlfn.FORMULATEXT(E31)</f>
        <v>=E25*SQRT(4)</v>
      </c>
      <c r="I31" s="13">
        <v>44834</v>
      </c>
      <c r="J31" s="5">
        <v>3.8285999999999998</v>
      </c>
      <c r="O31" s="30" t="s">
        <v>22</v>
      </c>
      <c r="P31" s="34">
        <f>E34</f>
        <v>-2.0207652523876973</v>
      </c>
    </row>
    <row r="32" spans="2:18">
      <c r="D32" s="15" t="s">
        <v>18</v>
      </c>
      <c r="E32" s="4">
        <f>E26*SQRT(4)</f>
        <v>5.7909618956678025E-2</v>
      </c>
      <c r="F32" t="str">
        <f t="shared" ca="1" si="0"/>
        <v>=E26*SQRT(4)</v>
      </c>
      <c r="I32" s="13">
        <v>44804</v>
      </c>
      <c r="J32" s="5">
        <v>3.1926000000000001</v>
      </c>
      <c r="K32" s="5"/>
      <c r="O32" s="29" t="s">
        <v>23</v>
      </c>
      <c r="P32" s="35">
        <f>E37</f>
        <v>-4.453000000000007E-2</v>
      </c>
    </row>
    <row r="33" spans="4:16">
      <c r="D33" s="15" t="s">
        <v>5</v>
      </c>
      <c r="E33" s="4">
        <f>I26/100</f>
        <v>2.9944666666666672E-2</v>
      </c>
      <c r="F33" t="str">
        <f ca="1">_xlfn.FORMULATEXT(E33)</f>
        <v>=I26/100</v>
      </c>
      <c r="I33" s="13">
        <v>44772</v>
      </c>
      <c r="J33" s="5">
        <v>2.6486999999999998</v>
      </c>
      <c r="K33" s="5"/>
      <c r="P33" s="21"/>
    </row>
    <row r="34" spans="4:16">
      <c r="D34" s="15" t="s">
        <v>3</v>
      </c>
      <c r="E34" s="26">
        <f>(E28-E33)/E31</f>
        <v>-2.0207652523876973</v>
      </c>
      <c r="F34" t="str">
        <f t="shared" ca="1" si="0"/>
        <v>=(E28-E33)/E31</v>
      </c>
      <c r="I34" s="13">
        <v>44742</v>
      </c>
      <c r="J34" s="5">
        <v>3.0129000000000001</v>
      </c>
      <c r="K34" s="5"/>
      <c r="O34" s="12"/>
      <c r="P34" s="19"/>
    </row>
    <row r="35" spans="4:16">
      <c r="D35" s="15"/>
      <c r="E35" s="4"/>
      <c r="I35" s="13">
        <v>44711</v>
      </c>
      <c r="J35" s="5">
        <v>2.8441000000000001</v>
      </c>
      <c r="K35" s="5"/>
    </row>
    <row r="36" spans="4:16" ht="16.8" thickBot="1">
      <c r="D36" s="16"/>
      <c r="E36" s="11"/>
      <c r="I36" s="13">
        <v>44680</v>
      </c>
      <c r="J36" s="5">
        <v>2.9336000000000002</v>
      </c>
      <c r="K36" s="5"/>
    </row>
    <row r="37" spans="4:16">
      <c r="D37" t="s">
        <v>19</v>
      </c>
      <c r="E37" s="10">
        <f>D4/D2-1</f>
        <v>-4.453000000000007E-2</v>
      </c>
      <c r="F37" t="str">
        <f t="shared" ca="1" si="0"/>
        <v>=D4/D2-1</v>
      </c>
      <c r="I37" s="13">
        <v>44651</v>
      </c>
      <c r="J37" s="5">
        <v>2.3433999999999999</v>
      </c>
      <c r="K37" s="5"/>
    </row>
    <row r="38" spans="4:16">
      <c r="D38" t="s">
        <v>14</v>
      </c>
      <c r="E38" s="9">
        <f>COUNT(E3:E17)</f>
        <v>2</v>
      </c>
      <c r="F38" t="str">
        <f ca="1">_xlfn.FORMULATEXT(E38)</f>
        <v>=COUNT(E3:E17)</v>
      </c>
      <c r="I38" s="13">
        <v>44620</v>
      </c>
      <c r="J38" s="5">
        <v>1.825</v>
      </c>
      <c r="K38" s="5"/>
    </row>
    <row r="39" spans="4:16">
      <c r="D39" t="s">
        <v>15</v>
      </c>
      <c r="E39" s="17">
        <f>COUNTIF(E3:E17,"&gt;0")/E38</f>
        <v>0</v>
      </c>
      <c r="F39" t="str">
        <f t="shared" ca="1" si="0"/>
        <v>=COUNTIF(E3:E17,"&gt;0")/E38</v>
      </c>
      <c r="I39" s="13">
        <v>44592</v>
      </c>
      <c r="J39" s="5">
        <v>1.7766999999999999</v>
      </c>
      <c r="K39" s="5"/>
    </row>
    <row r="40" spans="4:16">
      <c r="D40" t="s">
        <v>16</v>
      </c>
      <c r="E40" s="17">
        <f>COUNTIF(E3:E17,"&lt;0")/E38</f>
        <v>1</v>
      </c>
      <c r="F40" t="str">
        <f t="shared" ca="1" si="0"/>
        <v>=COUNTIF(E3:E17,"&lt;0")/E38</v>
      </c>
      <c r="I40" s="13">
        <v>44561</v>
      </c>
      <c r="J40" s="5">
        <v>1.5101</v>
      </c>
      <c r="K40" s="5"/>
    </row>
    <row r="41" spans="4:16">
      <c r="I41" s="13">
        <v>44530</v>
      </c>
      <c r="J41" s="5">
        <v>1.4442999999999999</v>
      </c>
      <c r="K41" s="5"/>
    </row>
    <row r="42" spans="4:16">
      <c r="I42" s="13">
        <v>44498</v>
      </c>
      <c r="J42" s="5">
        <v>1.5521</v>
      </c>
      <c r="K42" s="5"/>
    </row>
    <row r="43" spans="4:16">
      <c r="I43" s="13" t="s">
        <v>24</v>
      </c>
      <c r="J43" s="5">
        <v>1.4873000000000001</v>
      </c>
      <c r="K43" s="5"/>
    </row>
    <row r="44" spans="4:16">
      <c r="I44" s="13">
        <v>44439</v>
      </c>
      <c r="J44" s="5">
        <v>1.3088</v>
      </c>
    </row>
    <row r="45" spans="4:16">
      <c r="I45" s="13">
        <v>44408</v>
      </c>
      <c r="J45" s="5">
        <v>1.2222999999999999</v>
      </c>
    </row>
    <row r="46" spans="4:16">
      <c r="I46" s="13">
        <v>44377</v>
      </c>
      <c r="J46" s="5">
        <v>1.468</v>
      </c>
    </row>
    <row r="47" spans="4:16">
      <c r="I47" s="13">
        <v>44347</v>
      </c>
      <c r="J47" s="5">
        <v>1.5943000000000001</v>
      </c>
    </row>
    <row r="48" spans="4:16">
      <c r="I48" s="13">
        <v>44316</v>
      </c>
      <c r="J48" s="5">
        <v>1.6259000000000001</v>
      </c>
    </row>
    <row r="49" spans="9:10">
      <c r="I49" s="13">
        <v>44286</v>
      </c>
      <c r="J49" s="5">
        <v>1.7403999999999999</v>
      </c>
    </row>
    <row r="50" spans="9:10">
      <c r="I50" s="13">
        <v>44253</v>
      </c>
      <c r="J50" s="5">
        <v>1.4049</v>
      </c>
    </row>
    <row r="51" spans="9:10">
      <c r="I51" s="13">
        <v>44225</v>
      </c>
      <c r="J51" s="5">
        <v>1.0655000000000001</v>
      </c>
    </row>
    <row r="52" spans="9:10">
      <c r="I52" s="13">
        <v>44196</v>
      </c>
      <c r="J52" s="5">
        <v>0.91320000000000001</v>
      </c>
    </row>
    <row r="53" spans="9:10">
      <c r="I53" s="13">
        <v>44165</v>
      </c>
      <c r="J53" s="5">
        <v>0.83889999999999998</v>
      </c>
    </row>
    <row r="54" spans="9:10">
      <c r="I54" s="13">
        <v>44134</v>
      </c>
      <c r="J54" s="5">
        <v>0.87370000000000003</v>
      </c>
    </row>
    <row r="55" spans="9:10">
      <c r="I55" s="13">
        <v>44104</v>
      </c>
      <c r="J55" s="5">
        <v>0.68400000000000005</v>
      </c>
    </row>
    <row r="56" spans="9:10">
      <c r="I56" s="13">
        <v>44074</v>
      </c>
      <c r="J56" s="5">
        <v>0.70479999999999998</v>
      </c>
    </row>
    <row r="57" spans="9:10">
      <c r="I57" s="13">
        <v>44043</v>
      </c>
      <c r="J57" s="5">
        <v>0.5282</v>
      </c>
    </row>
    <row r="58" spans="9:10">
      <c r="I58" s="13">
        <v>44012</v>
      </c>
      <c r="J58" s="5">
        <v>0.65610000000000002</v>
      </c>
    </row>
  </sheetData>
  <mergeCells count="1">
    <mergeCell ref="D19:E20"/>
  </mergeCells>
  <phoneticPr fontId="7" type="noConversion"/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FA999-4E0D-4B7D-9268-C5B52397053F}">
  <dimension ref="B1:AF58"/>
  <sheetViews>
    <sheetView zoomScale="85" zoomScaleNormal="85" workbookViewId="0">
      <selection activeCell="D7" sqref="D7"/>
    </sheetView>
  </sheetViews>
  <sheetFormatPr defaultRowHeight="16.2"/>
  <cols>
    <col min="1" max="1" width="31.5546875" customWidth="1"/>
    <col min="2" max="2" width="16.21875" customWidth="1"/>
    <col min="3" max="3" width="17" customWidth="1"/>
    <col min="4" max="4" width="28" customWidth="1"/>
    <col min="5" max="5" width="21.44140625" customWidth="1"/>
    <col min="6" max="6" width="20.44140625" customWidth="1"/>
    <col min="7" max="7" width="23.6640625" customWidth="1"/>
    <col min="9" max="9" width="11.5546875" customWidth="1"/>
    <col min="15" max="15" width="27.21875" customWidth="1"/>
    <col min="16" max="16" width="10.109375" bestFit="1" customWidth="1"/>
    <col min="18" max="18" width="21.77734375" customWidth="1"/>
    <col min="19" max="19" width="10.21875" bestFit="1" customWidth="1"/>
  </cols>
  <sheetData>
    <row r="1" spans="3:32">
      <c r="D1" t="s">
        <v>0</v>
      </c>
      <c r="E1" s="41" t="s">
        <v>38</v>
      </c>
    </row>
    <row r="2" spans="3:32">
      <c r="C2" t="s">
        <v>25</v>
      </c>
      <c r="D2">
        <v>100</v>
      </c>
      <c r="E2" s="1">
        <v>0</v>
      </c>
    </row>
    <row r="3" spans="3:32">
      <c r="C3" s="3">
        <v>44805</v>
      </c>
      <c r="D3" s="2">
        <v>99.816999999999993</v>
      </c>
      <c r="E3" s="1">
        <f>(D3-100)/100</f>
        <v>-1.8300000000000694E-3</v>
      </c>
      <c r="F3" s="22">
        <f>E3+1</f>
        <v>0.99816999999999989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3:32">
      <c r="C4" s="3"/>
      <c r="D4" s="2"/>
      <c r="E4" s="1"/>
      <c r="F4" s="22"/>
    </row>
    <row r="5" spans="3:32">
      <c r="C5" s="3"/>
      <c r="D5" s="2"/>
      <c r="E5" s="1"/>
      <c r="F5" s="22"/>
    </row>
    <row r="6" spans="3:32">
      <c r="C6" s="3"/>
      <c r="D6" s="2"/>
      <c r="E6" s="1"/>
      <c r="F6" s="22"/>
    </row>
    <row r="7" spans="3:32">
      <c r="C7" s="3"/>
      <c r="D7" s="2"/>
      <c r="E7" s="1"/>
      <c r="F7" s="22"/>
    </row>
    <row r="8" spans="3:32">
      <c r="C8" s="3"/>
      <c r="D8" s="2"/>
      <c r="E8" s="1"/>
      <c r="F8" s="22"/>
    </row>
    <row r="9" spans="3:32">
      <c r="C9" s="3"/>
      <c r="D9" s="2"/>
      <c r="E9" s="1"/>
      <c r="F9" s="22"/>
    </row>
    <row r="10" spans="3:32">
      <c r="C10" s="3"/>
      <c r="D10" s="2"/>
      <c r="E10" s="1"/>
      <c r="F10" s="22"/>
    </row>
    <row r="11" spans="3:32">
      <c r="C11" s="3"/>
      <c r="D11" s="2"/>
      <c r="E11" s="36"/>
      <c r="F11" s="22"/>
    </row>
    <row r="12" spans="3:32">
      <c r="C12" s="3"/>
      <c r="D12" s="2"/>
      <c r="E12" s="1"/>
      <c r="F12" s="22"/>
    </row>
    <row r="13" spans="3:32">
      <c r="C13" s="3"/>
      <c r="D13" s="2"/>
      <c r="E13" s="1"/>
      <c r="F13" s="22"/>
    </row>
    <row r="14" spans="3:32">
      <c r="C14" s="3"/>
      <c r="D14" s="2"/>
      <c r="E14" s="1"/>
      <c r="F14" s="22"/>
    </row>
    <row r="15" spans="3:32">
      <c r="C15" s="3"/>
      <c r="D15" s="2"/>
      <c r="E15" s="1"/>
      <c r="F15" s="22"/>
    </row>
    <row r="16" spans="3:32">
      <c r="C16" s="3"/>
      <c r="D16" s="2"/>
      <c r="E16" s="1"/>
      <c r="F16" s="22"/>
    </row>
    <row r="17" spans="2:18">
      <c r="C17" s="3"/>
      <c r="D17" s="2"/>
      <c r="E17" s="1"/>
      <c r="F17" s="22"/>
    </row>
    <row r="18" spans="2:18">
      <c r="C18" s="3"/>
      <c r="D18" s="2"/>
      <c r="E18" s="1"/>
      <c r="F18" s="22"/>
    </row>
    <row r="19" spans="2:18">
      <c r="C19" s="3"/>
      <c r="D19" s="2"/>
      <c r="E19" s="1"/>
      <c r="F19" s="22"/>
    </row>
    <row r="20" spans="2:18">
      <c r="C20" s="3"/>
      <c r="D20" s="2"/>
      <c r="E20" s="1"/>
      <c r="F20" s="22"/>
    </row>
    <row r="21" spans="2:18" ht="16.8" thickBot="1">
      <c r="C21" s="3"/>
    </row>
    <row r="22" spans="2:18">
      <c r="D22" s="82" t="s">
        <v>4</v>
      </c>
      <c r="E22" s="83"/>
    </row>
    <row r="23" spans="2:18">
      <c r="D23" s="84"/>
      <c r="E23" s="85"/>
      <c r="G23" s="1"/>
    </row>
    <row r="24" spans="2:18">
      <c r="D24" s="14" t="s">
        <v>6</v>
      </c>
      <c r="E24" s="23">
        <v>44749</v>
      </c>
      <c r="P24" s="31"/>
    </row>
    <row r="25" spans="2:18">
      <c r="D25" s="14" t="s">
        <v>7</v>
      </c>
      <c r="E25" s="23">
        <v>44834</v>
      </c>
      <c r="O25" s="30" t="s">
        <v>32</v>
      </c>
      <c r="P25" s="31">
        <f>E26</f>
        <v>-1.8300000000000694E-3</v>
      </c>
    </row>
    <row r="26" spans="2:18">
      <c r="D26" s="15" t="s">
        <v>1</v>
      </c>
      <c r="E26" s="4">
        <f>(D3-100)/100</f>
        <v>-1.8300000000000694E-3</v>
      </c>
      <c r="F26" t="str">
        <f ca="1">_xlfn.FORMULATEXT(E26)</f>
        <v>=(D3-100)/100</v>
      </c>
      <c r="O26" s="29" t="s">
        <v>33</v>
      </c>
      <c r="P26" s="31">
        <f>E27</f>
        <v>-1.8300000000000694E-3</v>
      </c>
      <c r="R26" s="29"/>
    </row>
    <row r="27" spans="2:18">
      <c r="D27" s="15" t="s">
        <v>2</v>
      </c>
      <c r="E27" s="4">
        <f>(D3-D2)/D2</f>
        <v>-1.8300000000000694E-3</v>
      </c>
      <c r="F27" t="str">
        <f t="shared" ref="F27:F43" ca="1" si="0">_xlfn.FORMULATEXT(E27)</f>
        <v>=(D3-D2)/D2</v>
      </c>
      <c r="O27" s="30" t="s">
        <v>20</v>
      </c>
      <c r="P27" s="31">
        <f>E31</f>
        <v>-7.2999311027333036E-3</v>
      </c>
    </row>
    <row r="28" spans="2:18">
      <c r="D28" s="15" t="s">
        <v>27</v>
      </c>
      <c r="E28" s="4">
        <f>STDEVA(E2:E3)</f>
        <v>1.294005409571431E-3</v>
      </c>
      <c r="F28" t="str">
        <f t="shared" ca="1" si="0"/>
        <v>=STDEVA(E2:E3)</v>
      </c>
      <c r="G28" s="4">
        <f>STDEVA(D2:D3)</f>
        <v>0.12940054095714312</v>
      </c>
      <c r="I28" t="s">
        <v>9</v>
      </c>
      <c r="O28" s="29" t="s">
        <v>34</v>
      </c>
      <c r="P28" s="31">
        <f>E42</f>
        <v>0</v>
      </c>
    </row>
    <row r="29" spans="2:18">
      <c r="D29" s="15" t="s">
        <v>28</v>
      </c>
      <c r="E29" s="4">
        <f>STDEVA(E2:E3)*SQRT(4)</f>
        <v>2.588010819142862E-3</v>
      </c>
      <c r="F29" t="str">
        <f t="shared" ca="1" si="0"/>
        <v>=STDEVA(E2:E3)*SQRT(4)</v>
      </c>
      <c r="I29">
        <f>AVERAGE(J31:J42)</f>
        <v>2.4093416666666667</v>
      </c>
      <c r="O29" s="30" t="s">
        <v>29</v>
      </c>
      <c r="P29" s="31">
        <f>E43</f>
        <v>1</v>
      </c>
    </row>
    <row r="30" spans="2:18">
      <c r="B30" s="6"/>
      <c r="D30" s="15" t="s">
        <v>13</v>
      </c>
      <c r="E30" s="7">
        <f>E25-E24</f>
        <v>85</v>
      </c>
      <c r="F30" t="str">
        <f ca="1">_xlfn.FORMULATEXT(E30)</f>
        <v>=E25-E24</v>
      </c>
      <c r="I30" s="5" t="s">
        <v>10</v>
      </c>
      <c r="J30" s="5" t="s">
        <v>11</v>
      </c>
      <c r="K30" s="5"/>
      <c r="O30" s="29" t="s">
        <v>21</v>
      </c>
      <c r="P30" s="31">
        <f>E34</f>
        <v>2.588010819142862E-3</v>
      </c>
    </row>
    <row r="31" spans="2:18">
      <c r="D31" s="15" t="s">
        <v>12</v>
      </c>
      <c r="E31" s="4">
        <f>(PRODUCT(F3))^(4/COUNT(F3))-1</f>
        <v>-7.2999311027333036E-3</v>
      </c>
      <c r="F31" t="str">
        <f t="shared" ca="1" si="0"/>
        <v>=(PRODUCT(F3))^(4/COUNT(F3))-1</v>
      </c>
      <c r="I31" s="13">
        <v>44834</v>
      </c>
      <c r="J31" s="5">
        <v>3.8285999999999998</v>
      </c>
      <c r="K31" s="5"/>
      <c r="O31" s="30" t="s">
        <v>22</v>
      </c>
      <c r="P31" s="18">
        <f>E37</f>
        <v>-12.130300050212815</v>
      </c>
    </row>
    <row r="32" spans="2:18">
      <c r="D32" s="24" t="s">
        <v>26</v>
      </c>
      <c r="E32" s="8">
        <f>MAX(E2:E18)</f>
        <v>0</v>
      </c>
      <c r="F32" t="str">
        <f t="shared" ca="1" si="0"/>
        <v>=MAX(E2:E18)</v>
      </c>
      <c r="I32" s="13">
        <v>44804</v>
      </c>
      <c r="J32" s="5">
        <v>3.1926000000000001</v>
      </c>
      <c r="O32" s="29" t="s">
        <v>23</v>
      </c>
      <c r="P32" s="31">
        <f>E40</f>
        <v>-1.8300000000001093E-3</v>
      </c>
    </row>
    <row r="33" spans="4:16">
      <c r="D33" s="39" t="s">
        <v>40</v>
      </c>
      <c r="E33" s="8">
        <f>MIN(E3:E20)</f>
        <v>-1.8300000000000694E-3</v>
      </c>
      <c r="F33" t="str">
        <f t="shared" ca="1" si="0"/>
        <v>=MIN(E3:E20)</v>
      </c>
      <c r="I33" s="13">
        <v>44772</v>
      </c>
      <c r="J33" s="5">
        <v>2.6486999999999998</v>
      </c>
      <c r="O33" s="12"/>
      <c r="P33" s="19"/>
    </row>
    <row r="34" spans="4:16">
      <c r="D34" s="15" t="s">
        <v>17</v>
      </c>
      <c r="E34" s="4">
        <f>E28*SQRT(4)</f>
        <v>2.588010819142862E-3</v>
      </c>
      <c r="F34" t="str">
        <f ca="1">_xlfn.FORMULATEXT(E34)</f>
        <v>=E28*SQRT(4)</v>
      </c>
      <c r="I34" s="13">
        <v>44742</v>
      </c>
      <c r="J34" s="5">
        <v>3.0129000000000001</v>
      </c>
      <c r="O34" s="12"/>
      <c r="P34" s="20"/>
    </row>
    <row r="35" spans="4:16">
      <c r="D35" s="15" t="s">
        <v>18</v>
      </c>
      <c r="E35" s="4">
        <f>E29*SQRT(4)</f>
        <v>5.176021638285724E-3</v>
      </c>
      <c r="F35" t="str">
        <f t="shared" ca="1" si="0"/>
        <v>=E29*SQRT(4)</v>
      </c>
      <c r="I35" s="13">
        <v>44711</v>
      </c>
      <c r="J35" s="5">
        <v>2.8441000000000001</v>
      </c>
      <c r="K35" s="5"/>
      <c r="O35" s="12"/>
      <c r="P35" s="20"/>
    </row>
    <row r="36" spans="4:16">
      <c r="D36" s="15" t="s">
        <v>5</v>
      </c>
      <c r="E36" s="4">
        <f>I29/100</f>
        <v>2.4093416666666666E-2</v>
      </c>
      <c r="F36" t="str">
        <f t="shared" ca="1" si="0"/>
        <v>=I29/100</v>
      </c>
      <c r="I36" s="13">
        <v>44680</v>
      </c>
      <c r="J36" s="5">
        <v>2.9336000000000002</v>
      </c>
      <c r="K36" s="5"/>
      <c r="P36" s="21"/>
    </row>
    <row r="37" spans="4:16">
      <c r="D37" s="15" t="s">
        <v>3</v>
      </c>
      <c r="E37" s="26">
        <f>(E31-E36)/E34</f>
        <v>-12.130300050212815</v>
      </c>
      <c r="F37" t="str">
        <f t="shared" ca="1" si="0"/>
        <v>=(E31-E36)/E34</v>
      </c>
      <c r="I37" s="13">
        <v>44651</v>
      </c>
      <c r="J37" s="5">
        <v>2.3433999999999999</v>
      </c>
      <c r="K37" s="5"/>
      <c r="O37" s="12"/>
      <c r="P37" s="19"/>
    </row>
    <row r="38" spans="4:16">
      <c r="D38" s="15"/>
      <c r="E38" s="4"/>
      <c r="I38" s="13">
        <v>44620</v>
      </c>
      <c r="J38" s="5">
        <v>1.825</v>
      </c>
      <c r="K38" s="5"/>
    </row>
    <row r="39" spans="4:16" ht="16.8" thickBot="1">
      <c r="D39" s="16"/>
      <c r="E39" s="11"/>
      <c r="I39" s="13">
        <v>44592</v>
      </c>
      <c r="J39" s="5">
        <v>1.7766999999999999</v>
      </c>
      <c r="K39" s="5"/>
    </row>
    <row r="40" spans="4:16">
      <c r="D40" t="s">
        <v>19</v>
      </c>
      <c r="E40" s="10">
        <f>D3/D2-1</f>
        <v>-1.8300000000001093E-3</v>
      </c>
      <c r="F40" t="str">
        <f t="shared" ca="1" si="0"/>
        <v>=D3/D2-1</v>
      </c>
      <c r="I40" s="13">
        <v>44561</v>
      </c>
      <c r="J40" s="5">
        <v>1.5101</v>
      </c>
      <c r="K40" s="5"/>
    </row>
    <row r="41" spans="4:16">
      <c r="D41" t="s">
        <v>14</v>
      </c>
      <c r="E41" s="9">
        <f>COUNT(E3:E20)</f>
        <v>1</v>
      </c>
      <c r="F41" t="str">
        <f ca="1">_xlfn.FORMULATEXT(E41)</f>
        <v>=COUNT(E3:E20)</v>
      </c>
      <c r="I41" s="13">
        <v>44530</v>
      </c>
      <c r="J41" s="5">
        <v>1.4442999999999999</v>
      </c>
      <c r="K41" s="5"/>
    </row>
    <row r="42" spans="4:16">
      <c r="D42" s="28" t="s">
        <v>31</v>
      </c>
      <c r="E42" s="17">
        <f>COUNTIF(E3:E20,"&gt;0")/E41</f>
        <v>0</v>
      </c>
      <c r="F42" t="str">
        <f t="shared" ca="1" si="0"/>
        <v>=COUNTIF(E3:E20,"&gt;0")/E41</v>
      </c>
      <c r="I42" s="13">
        <v>44498</v>
      </c>
      <c r="J42" s="5">
        <v>1.5521</v>
      </c>
      <c r="K42" s="5"/>
    </row>
    <row r="43" spans="4:16">
      <c r="D43" t="s">
        <v>30</v>
      </c>
      <c r="E43" s="17">
        <f>COUNTIF(E3:E20,"&lt;0")/E41</f>
        <v>1</v>
      </c>
      <c r="F43" t="str">
        <f t="shared" ca="1" si="0"/>
        <v>=COUNTIF(E3:E20,"&lt;0")/E41</v>
      </c>
      <c r="I43" s="13" t="s">
        <v>24</v>
      </c>
      <c r="J43" s="5">
        <v>1.4873000000000001</v>
      </c>
      <c r="K43" s="5"/>
    </row>
    <row r="44" spans="4:16">
      <c r="I44" s="13">
        <v>44439</v>
      </c>
      <c r="J44" s="5">
        <v>1.3088</v>
      </c>
      <c r="K44" s="5"/>
    </row>
    <row r="45" spans="4:16">
      <c r="I45" s="13">
        <v>44408</v>
      </c>
      <c r="J45" s="5">
        <v>1.2222999999999999</v>
      </c>
      <c r="K45" s="5"/>
    </row>
    <row r="46" spans="4:16">
      <c r="I46" s="13">
        <v>44377</v>
      </c>
      <c r="J46" s="5">
        <v>1.468</v>
      </c>
      <c r="K46" s="5"/>
    </row>
    <row r="47" spans="4:16">
      <c r="I47" s="13">
        <v>44347</v>
      </c>
      <c r="J47" s="5">
        <v>1.5943000000000001</v>
      </c>
    </row>
    <row r="48" spans="4:16">
      <c r="I48" s="13">
        <v>44316</v>
      </c>
      <c r="J48" s="5">
        <v>1.6259000000000001</v>
      </c>
    </row>
    <row r="49" spans="9:10">
      <c r="I49" s="13">
        <v>44286</v>
      </c>
      <c r="J49" s="5">
        <v>1.7403999999999999</v>
      </c>
    </row>
    <row r="50" spans="9:10">
      <c r="I50" s="13">
        <v>44253</v>
      </c>
      <c r="J50" s="5">
        <v>1.4049</v>
      </c>
    </row>
    <row r="51" spans="9:10">
      <c r="I51" s="13">
        <v>44225</v>
      </c>
      <c r="J51" s="5">
        <v>1.0655000000000001</v>
      </c>
    </row>
    <row r="52" spans="9:10">
      <c r="I52" s="13">
        <v>44196</v>
      </c>
      <c r="J52" s="5">
        <v>0.91320000000000001</v>
      </c>
    </row>
    <row r="53" spans="9:10">
      <c r="I53" s="13">
        <v>44165</v>
      </c>
      <c r="J53" s="5">
        <v>0.83889999999999998</v>
      </c>
    </row>
    <row r="54" spans="9:10">
      <c r="I54" s="13">
        <v>44134</v>
      </c>
      <c r="J54" s="5">
        <v>0.87370000000000003</v>
      </c>
    </row>
    <row r="55" spans="9:10">
      <c r="I55" s="13">
        <v>44104</v>
      </c>
      <c r="J55" s="5">
        <v>0.68400000000000005</v>
      </c>
    </row>
    <row r="56" spans="9:10">
      <c r="I56" s="13">
        <v>44074</v>
      </c>
      <c r="J56" s="5">
        <v>0.70479999999999998</v>
      </c>
    </row>
    <row r="57" spans="9:10">
      <c r="I57" s="13">
        <v>44043</v>
      </c>
      <c r="J57" s="5">
        <v>0.5282</v>
      </c>
    </row>
    <row r="58" spans="9:10">
      <c r="I58" s="13">
        <v>44012</v>
      </c>
      <c r="J58" s="5">
        <v>0.65610000000000002</v>
      </c>
    </row>
  </sheetData>
  <mergeCells count="1">
    <mergeCell ref="D22:E23"/>
  </mergeCells>
  <phoneticPr fontId="30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2026 Jun (monthly)</vt:lpstr>
      <vt:lpstr>2026 Mar (monthly)</vt:lpstr>
      <vt:lpstr>2025 Dec (monthly) </vt:lpstr>
      <vt:lpstr>2025 Sep (monthly)</vt:lpstr>
      <vt:lpstr>2025 Jun (monthly)</vt:lpstr>
      <vt:lpstr>2025 Mar (monthly)</vt:lpstr>
      <vt:lpstr>2024 Aug (monthly) </vt:lpstr>
      <vt:lpstr>2024 Jul (monthly) </vt:lpstr>
      <vt:lpstr>2024 Dec (monthly)</vt:lpstr>
      <vt:lpstr>2024 Sep (monthly)</vt:lpstr>
      <vt:lpstr>2024 Jun (monthly) </vt:lpstr>
      <vt:lpstr>2024 Mar (monthly) </vt:lpstr>
      <vt:lpstr>2023 Dec (monthly)</vt:lpstr>
      <vt:lpstr>2023 Sep (monthly)</vt:lpstr>
      <vt:lpstr>2023 Jun (monthly)</vt:lpstr>
      <vt:lpstr>2023 Mar (monthly)</vt:lpstr>
      <vt:lpstr>2022 Dec (monthly)</vt:lpstr>
      <vt:lpstr>2022 Sep (monthly)</vt:lpstr>
      <vt:lpstr>2023 Mar</vt:lpstr>
      <vt:lpstr>2022 Dec</vt:lpstr>
      <vt:lpstr>2022 Sep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Amber</dc:creator>
  <cp:lastModifiedBy>Lydia</cp:lastModifiedBy>
  <dcterms:created xsi:type="dcterms:W3CDTF">2020-09-15T02:39:53Z</dcterms:created>
  <dcterms:modified xsi:type="dcterms:W3CDTF">2026-07-06T02:03:43Z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229fb002</vt:lpwstr>
  </property>
</Properties>
</file>